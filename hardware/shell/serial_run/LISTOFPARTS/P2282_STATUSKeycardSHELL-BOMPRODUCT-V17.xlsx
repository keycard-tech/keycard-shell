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\P2282\"/>
    </mc:Choice>
  </mc:AlternateContent>
  <xr:revisionPtr revIDLastSave="0" documentId="13_ncr:1_{C52EE841-7E61-4744-BF57-AB807242E810}" xr6:coauthVersionLast="47" xr6:coauthVersionMax="47" xr10:uidLastSave="{00000000-0000-0000-0000-000000000000}"/>
  <bookViews>
    <workbookView xWindow="-110" yWindow="-110" windowWidth="22620" windowHeight="13500" tabRatio="845" activeTab="1" xr2:uid="{00000000-000D-0000-FFFF-FFFF00000000}"/>
  </bookViews>
  <sheets>
    <sheet name="Historic" sheetId="21" r:id="rId1"/>
    <sheet name="Product BOM" sheetId="24" r:id="rId2"/>
    <sheet name="Guidelines" sheetId="29" r:id="rId3"/>
    <sheet name="ERP needs (AIS)" sheetId="32" r:id="rId4"/>
    <sheet name="Data (DO NOT DELETE)" sheetId="31" state="hidden" r:id="rId5"/>
    <sheet name="Material DB (DFT)" sheetId="25" r:id="rId6"/>
  </sheets>
  <definedNames>
    <definedName name="_xlnm._FilterDatabase" localSheetId="1" hidden="1">'Product BOM'!$B$4:$V$48</definedName>
    <definedName name="_xlnm.Print_Area" localSheetId="0">Historic!#REF!</definedName>
    <definedName name="_xlnm.Print_Area" localSheetId="1">'Product BOM'!$C$1:$X$12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4" l="1"/>
  <c r="I2" i="24" l="1"/>
  <c r="J1" i="24"/>
</calcChain>
</file>

<file path=xl/sharedStrings.xml><?xml version="1.0" encoding="utf-8"?>
<sst xmlns="http://schemas.openxmlformats.org/spreadsheetml/2006/main" count="651" uniqueCount="364">
  <si>
    <t>Nr PROJECT</t>
  </si>
  <si>
    <t>PROJECT NAME</t>
  </si>
  <si>
    <t>CUSTOMER</t>
  </si>
  <si>
    <t>BOM VERSION</t>
  </si>
  <si>
    <t>ERP AI NODON</t>
  </si>
  <si>
    <t>ERP AIS</t>
  </si>
  <si>
    <t>Author</t>
  </si>
  <si>
    <t>DATE</t>
  </si>
  <si>
    <t>Creation</t>
  </si>
  <si>
    <t>Part number and level</t>
  </si>
  <si>
    <t>ALTYOR part / product name (EN)</t>
  </si>
  <si>
    <t>ALTYOR part / product name (CN)</t>
  </si>
  <si>
    <t>Reference drawing</t>
  </si>
  <si>
    <t>Rev. in progress</t>
  </si>
  <si>
    <t>Rev. Validated</t>
  </si>
  <si>
    <t>Customer P/N</t>
  </si>
  <si>
    <t>Process</t>
  </si>
  <si>
    <t>Material</t>
  </si>
  <si>
    <t>Material ref</t>
  </si>
  <si>
    <t>Colour</t>
  </si>
  <si>
    <t>Finishing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</si>
  <si>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</si>
  <si>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</si>
  <si>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</si>
  <si>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</si>
  <si>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</si>
  <si>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</si>
  <si>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</si>
  <si>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</si>
  <si>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</si>
  <si>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</si>
  <si>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R (Responsible)</t>
  </si>
  <si>
    <t>A (Accountable)</t>
  </si>
  <si>
    <t>C (Consulted)</t>
  </si>
  <si>
    <t>I (Informed)</t>
  </si>
  <si>
    <t>Quality</t>
  </si>
  <si>
    <t>Project members</t>
  </si>
  <si>
    <t>PMC &amp; PMF are responsible to check and modify the part / product status on column F</t>
  </si>
  <si>
    <t>During CP04 (Design and NPI)</t>
  </si>
  <si>
    <t>During Mass Production</t>
  </si>
  <si>
    <t>Trace and note date on "Historic" at every modification</t>
  </si>
  <si>
    <t>Update version (V00 -&gt; V01) at every modification</t>
  </si>
  <si>
    <t>Before modification, archive previous version</t>
  </si>
  <si>
    <t>Part list column</t>
  </si>
  <si>
    <t>Definition</t>
  </si>
  <si>
    <t>Rules</t>
  </si>
  <si>
    <t>Level : Number 1 is finished product 
号码1是最终成品
Then sub-level 1.x, and 1.x.y if needed.
如果有需要,附属级别用1.x , 1.x.y表示.
Follow up MP02-Procedure rules for codification BOM</t>
  </si>
  <si>
    <t>Part name in english</t>
  </si>
  <si>
    <t>Part name in chinese</t>
  </si>
  <si>
    <t>Use standard naming : CUS - PXXXX -Part name in chinese
Follow up MP02-Procedure rules for codification BOM</t>
  </si>
  <si>
    <t xml:space="preserve">Use english only
Follow up procedure : MP02- rules for identification Conception and NPI document </t>
  </si>
  <si>
    <t>Revision use when part is in progress</t>
  </si>
  <si>
    <t>To not fill if part is on production without improvment</t>
  </si>
  <si>
    <t>Revision used for production</t>
  </si>
  <si>
    <t>To not fill if part is not on production</t>
  </si>
  <si>
    <t>Customer part number</t>
  </si>
  <si>
    <t>When part are consigned by customer</t>
  </si>
  <si>
    <t>AI or NODON ERP number</t>
  </si>
  <si>
    <t>To fill when known</t>
  </si>
  <si>
    <t>AIS ERP number</t>
  </si>
  <si>
    <t>Manufacturing process (Injection, die-casting, ...)</t>
  </si>
  <si>
    <t>Part material for production</t>
  </si>
  <si>
    <t>Part colour</t>
  </si>
  <si>
    <t>Finition (Charmille 21, polish, etc)</t>
  </si>
  <si>
    <t>BOM product author</t>
  </si>
  <si>
    <t>Density</t>
  </si>
  <si>
    <t>Unit</t>
  </si>
  <si>
    <t>Source</t>
  </si>
  <si>
    <t>Plastic</t>
  </si>
  <si>
    <t>PC</t>
  </si>
  <si>
    <t>g/cm3</t>
  </si>
  <si>
    <t>Recoupe de fiches matières Altyor</t>
  </si>
  <si>
    <t>R-PC</t>
  </si>
  <si>
    <t>-</t>
  </si>
  <si>
    <t>ABS</t>
  </si>
  <si>
    <t>R-ABS</t>
  </si>
  <si>
    <t>ABS-PC</t>
  </si>
  <si>
    <t>max de la fourchette de la matière Bayblend® (PC+ABS) blends</t>
  </si>
  <si>
    <t>PP</t>
  </si>
  <si>
    <t>ChatGPT</t>
  </si>
  <si>
    <t>Silicone</t>
  </si>
  <si>
    <t>PA6</t>
  </si>
  <si>
    <t>PA6GF15</t>
  </si>
  <si>
    <t>PA6GF30</t>
  </si>
  <si>
    <t>POM</t>
  </si>
  <si>
    <t>HIPS</t>
  </si>
  <si>
    <t>HDPE</t>
  </si>
  <si>
    <t>TPE</t>
  </si>
  <si>
    <t>LDPE</t>
  </si>
  <si>
    <t>PETG</t>
  </si>
  <si>
    <t>EPDM</t>
  </si>
  <si>
    <t>PTFE</t>
  </si>
  <si>
    <t>FOAM</t>
  </si>
  <si>
    <t>Metal</t>
  </si>
  <si>
    <t>PMMA</t>
  </si>
  <si>
    <t>Steel</t>
  </si>
  <si>
    <t>R-Steel</t>
  </si>
  <si>
    <t>Alumium</t>
  </si>
  <si>
    <t>R-Aluminium</t>
  </si>
  <si>
    <t>Brass</t>
  </si>
  <si>
    <t>Zamak</t>
  </si>
  <si>
    <t>ChatGPT avec recoupe autres sources</t>
  </si>
  <si>
    <t>Neodymium</t>
  </si>
  <si>
    <t>Phosphor bronz</t>
  </si>
  <si>
    <t>Copper</t>
  </si>
  <si>
    <t>Other</t>
  </si>
  <si>
    <t>Glass</t>
  </si>
  <si>
    <t>Category</t>
  </si>
  <si>
    <t>BEM Material</t>
  </si>
  <si>
    <t>V00</t>
  </si>
  <si>
    <t>Mass (g)
1st fill for DFM
Final update for SR</t>
  </si>
  <si>
    <t>PARTS LIST and PRODUCT BOM</t>
  </si>
  <si>
    <t>General PRODUCT BOM RACI</t>
  </si>
  <si>
    <t>R&amp;D</t>
  </si>
  <si>
    <t>Method</t>
  </si>
  <si>
    <t>PMF</t>
  </si>
  <si>
    <t>Customer service 
--&gt; HG validation</t>
  </si>
  <si>
    <t>R&amp;D 
(Method if no conception)</t>
  </si>
  <si>
    <t>R&amp;D (or PMF if no conception) first --&gt; Method codification --&gt; PMF validation --&gt; R&amp;D confirmation</t>
  </si>
  <si>
    <t>R&amp;D 
(PMF if no conception)</t>
  </si>
  <si>
    <t>Automation</t>
  </si>
  <si>
    <t>PMF / PMC + R&amp;D (BEM &amp; BEE)</t>
  </si>
  <si>
    <t>Method PE</t>
  </si>
  <si>
    <t>Responsibilities</t>
  </si>
  <si>
    <t>Level in assembly (single part or sub-assembly)</t>
  </si>
  <si>
    <t>CUS-PXXXX-PRODUCT 1,2,3,…</t>
  </si>
  <si>
    <t>Product version</t>
  </si>
  <si>
    <t>When there are several versions of a same product (different brand name, different color, different packaging,…)</t>
  </si>
  <si>
    <t>Volume ( cm3) 1st fill for DFM
Final update for SR</t>
  </si>
  <si>
    <t>Mass (g) 1st fill for DFM
Final update for SR</t>
  </si>
  <si>
    <t>Responsible</t>
  </si>
  <si>
    <t>PRODUCT BOM</t>
  </si>
  <si>
    <t>Validation</t>
  </si>
  <si>
    <t>HISTORY OF MODIFICATIONS</t>
  </si>
  <si>
    <t>Use standard naming : CUS - PXXXX -Part name in english
CUS is the name of customer : 3 first letter
Ex : SUP-P1618-PRODUCT 1 for SUPERMAN
Follow up MP02-Procedure rules for codification BOM</t>
  </si>
  <si>
    <t>Flow chart</t>
  </si>
  <si>
    <t>Specific raw material reference</t>
  </si>
  <si>
    <t>If needed, a specific raw material can be required to comply with a specific function (transparence, resistance, appearance, FDA, medical,...) or upon customer request.</t>
  </si>
  <si>
    <t>Generic definition of material used for production (ABS, r-ABS, PC, Zamak, Aluminum, steel,…). This definition is used for material weight calculation.</t>
  </si>
  <si>
    <t>Consumable (Y/N)</t>
  </si>
  <si>
    <r>
      <t>Volume ( cm</t>
    </r>
    <r>
      <rPr>
        <b/>
        <vertAlign val="superscript"/>
        <sz val="10"/>
        <color theme="1"/>
        <rFont val="Arial"/>
        <family val="2"/>
      </rPr>
      <t>3</t>
    </r>
    <r>
      <rPr>
        <b/>
        <sz val="10"/>
        <color theme="1"/>
        <rFont val="Arial"/>
        <family val="2"/>
      </rPr>
      <t>)
1st fill for DFM
Final update for SR</t>
    </r>
  </si>
  <si>
    <t>T - Rev. L
 Linked to CP04</t>
  </si>
  <si>
    <t>Part</t>
  </si>
  <si>
    <t>Use for</t>
  </si>
  <si>
    <t>Supplier</t>
  </si>
  <si>
    <t>Vendor</t>
  </si>
  <si>
    <t>Lead Time</t>
  </si>
  <si>
    <t>(Day)</t>
  </si>
  <si>
    <t>MOQ</t>
  </si>
  <si>
    <t>SPQ</t>
  </si>
  <si>
    <t>Price</t>
  </si>
  <si>
    <t>Mass (g)</t>
  </si>
  <si>
    <t>Client</t>
  </si>
  <si>
    <t>电子料 Electronic</t>
  </si>
  <si>
    <t>On PCBA (SMT)</t>
  </si>
  <si>
    <t>x</t>
  </si>
  <si>
    <t>Assembly</t>
  </si>
  <si>
    <t>其它零件 Other Parts</t>
  </si>
  <si>
    <t>工装夹具/测试台 Fixture/Test bench</t>
  </si>
  <si>
    <t>Assembly/Test</t>
  </si>
  <si>
    <t>Information required for AIS ERP number creation</t>
  </si>
  <si>
    <t>Recycled Material Eligibility (Y/N)</t>
  </si>
  <si>
    <t>Method AIS</t>
  </si>
  <si>
    <t>Note if it is leaded in consumable or not</t>
  </si>
  <si>
    <t>1st page Historic</t>
  </si>
  <si>
    <t>BOM Version</t>
  </si>
  <si>
    <t>BOM product Version</t>
  </si>
  <si>
    <t>V00 for creation and update after each modification</t>
  </si>
  <si>
    <t>R&amp;D, Method PE, PM</t>
  </si>
  <si>
    <t xml:space="preserve">Validation </t>
  </si>
  <si>
    <t xml:space="preserve">Different validation </t>
  </si>
  <si>
    <t>Customer service 
--&gt; Quality Manager AI validation</t>
  </si>
  <si>
    <t>AI by PMF, AIS by PMC</t>
  </si>
  <si>
    <t>Modification</t>
  </si>
  <si>
    <t xml:space="preserve">Date </t>
  </si>
  <si>
    <t>Creation and modification</t>
  </si>
  <si>
    <t>Creation or modification date</t>
  </si>
  <si>
    <t>To be filled on each modification after ERP number creation</t>
  </si>
  <si>
    <t>During conception</t>
  </si>
  <si>
    <t>R&amp;D, Method PE, PM. 
Note initials of the person who modifys the BOM</t>
  </si>
  <si>
    <t xml:space="preserve">ERP code validation : for MIF by AI Quality Manager, for AIS by method PE.
PRODUCT BOM validation : for AIS by PMC, for AI by PMF. </t>
  </si>
  <si>
    <t xml:space="preserve">PMF </t>
  </si>
  <si>
    <t>MIF production manager</t>
  </si>
  <si>
    <t>Naming rules (PXXXX - PRODUCT BOM - V00)</t>
  </si>
  <si>
    <t>Archive previous version in OLD folder</t>
  </si>
  <si>
    <t>Use format PXXXX - PRODUCT BOM - V00 for creation</t>
  </si>
  <si>
    <t>Unit 
(pc, m, L, kg)</t>
  </si>
  <si>
    <t>Manufacturing type</t>
  </si>
  <si>
    <t>Unit (pc, m, L, kg)</t>
  </si>
  <si>
    <t>Describe if the part is purchased (P), internally manufactured (M) or consigned (C) at another supplier for additional process (for example painting)</t>
  </si>
  <si>
    <t>For consigned parts : PMC and purchase confirm together if the part if the part needs additional process and communicate to method for BOM filling</t>
  </si>
  <si>
    <t>1.6.1</t>
    <phoneticPr fontId="10" type="noConversion"/>
  </si>
  <si>
    <t>1.6.2</t>
    <phoneticPr fontId="10" type="noConversion"/>
  </si>
  <si>
    <t>1.7.1</t>
    <phoneticPr fontId="10" type="noConversion"/>
  </si>
  <si>
    <t>1.7.2</t>
    <phoneticPr fontId="10" type="noConversion"/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</si>
  <si>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</si>
  <si>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</si>
  <si>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</si>
  <si>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</si>
  <si>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</si>
  <si>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</si>
  <si>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</si>
  <si>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</si>
  <si>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</si>
  <si>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</si>
  <si>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</si>
  <si>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</si>
  <si>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</si>
  <si>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</si>
  <si>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</si>
  <si>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</si>
  <si>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</si>
  <si>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</si>
  <si>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</si>
  <si>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STA-P2282-TOP</t>
  </si>
  <si>
    <r>
      <rPr>
        <sz val="12"/>
        <rFont val="宋体"/>
        <family val="2"/>
        <charset val="134"/>
      </rPr>
      <t>上盖</t>
    </r>
    <phoneticPr fontId="10" type="noConversion"/>
  </si>
  <si>
    <t>STA-P2282-MIDDLE FRAME</t>
    <phoneticPr fontId="10" type="noConversion"/>
  </si>
  <si>
    <r>
      <rPr>
        <sz val="12"/>
        <color theme="1" tint="4.9989318521683403E-2"/>
        <rFont val="宋体"/>
        <family val="2"/>
        <charset val="134"/>
      </rPr>
      <t>框架</t>
    </r>
    <phoneticPr fontId="10" type="noConversion"/>
  </si>
  <si>
    <t>STA-P2282-BOTTOM COVER</t>
  </si>
  <si>
    <r>
      <rPr>
        <sz val="12"/>
        <color theme="1" tint="4.9989318521683403E-2"/>
        <rFont val="宋体"/>
        <family val="2"/>
        <charset val="134"/>
      </rPr>
      <t>底盖</t>
    </r>
    <phoneticPr fontId="10" type="noConversion"/>
  </si>
  <si>
    <t>STA-P2282-SIDE BUTTON</t>
  </si>
  <si>
    <r>
      <rPr>
        <sz val="12"/>
        <color theme="1" tint="4.9989318521683403E-2"/>
        <rFont val="宋体"/>
        <family val="2"/>
        <charset val="134"/>
      </rPr>
      <t>侧按键</t>
    </r>
    <phoneticPr fontId="10" type="noConversion"/>
  </si>
  <si>
    <t>STA-P2282-KEYBOARD SLEEVE</t>
    <phoneticPr fontId="10" type="noConversion"/>
  </si>
  <si>
    <r>
      <rPr>
        <sz val="12"/>
        <color theme="1" tint="4.9989318521683403E-2"/>
        <rFont val="宋体"/>
        <family val="2"/>
        <charset val="134"/>
      </rPr>
      <t>键盘封套</t>
    </r>
    <phoneticPr fontId="10" type="noConversion"/>
  </si>
  <si>
    <t>STA-P2282-WINDOW WITH PROTECTION</t>
    <phoneticPr fontId="10" type="noConversion"/>
  </si>
  <si>
    <r>
      <rPr>
        <sz val="12"/>
        <color theme="1" tint="4.9989318521683403E-2"/>
        <rFont val="宋体"/>
        <family val="2"/>
        <charset val="134"/>
      </rPr>
      <t>窗户</t>
    </r>
    <phoneticPr fontId="10" type="noConversion"/>
  </si>
  <si>
    <t>STA-P2282-WINDOW</t>
    <phoneticPr fontId="10" type="noConversion"/>
  </si>
  <si>
    <t>STA-P2282- WINDOW PROTECTION</t>
    <phoneticPr fontId="10" type="noConversion"/>
  </si>
  <si>
    <t>STA-P2282-CAMERA WINDOW WITH PROTECTION</t>
    <phoneticPr fontId="10" type="noConversion"/>
  </si>
  <si>
    <r>
      <rPr>
        <sz val="12"/>
        <color theme="1" tint="4.9989318521683403E-2"/>
        <rFont val="宋体"/>
        <family val="2"/>
        <charset val="134"/>
      </rPr>
      <t>相机窗户</t>
    </r>
    <phoneticPr fontId="10" type="noConversion"/>
  </si>
  <si>
    <t>STA-P2282-CAMERA WINDOW</t>
    <phoneticPr fontId="10" type="noConversion"/>
  </si>
  <si>
    <t>STA-P2282- CAMERA WINDOW PROTECTION</t>
    <phoneticPr fontId="10" type="noConversion"/>
  </si>
  <si>
    <t>STA-P2282-WINDOW ADHESIVE</t>
  </si>
  <si>
    <r>
      <rPr>
        <sz val="12"/>
        <color theme="1" tint="4.9989318521683403E-2"/>
        <rFont val="宋体"/>
        <family val="2"/>
        <charset val="134"/>
      </rPr>
      <t>相机双面胶</t>
    </r>
    <phoneticPr fontId="10" type="noConversion"/>
  </si>
  <si>
    <t>STA-P2282-ANTI DUST FOAM</t>
  </si>
  <si>
    <r>
      <rPr>
        <sz val="12"/>
        <color theme="1" tint="4.9989318521683403E-2"/>
        <rFont val="宋体"/>
        <family val="2"/>
        <charset val="134"/>
      </rPr>
      <t>海绵</t>
    </r>
    <phoneticPr fontId="10" type="noConversion"/>
  </si>
  <si>
    <t>STA-P2282-CAMERA WINDOW ADHESIVE</t>
  </si>
  <si>
    <r>
      <rPr>
        <sz val="12"/>
        <color theme="1" tint="4.9989318521683403E-2"/>
        <rFont val="宋体"/>
        <family val="2"/>
        <charset val="134"/>
      </rPr>
      <t>相机窗户双面胶</t>
    </r>
    <phoneticPr fontId="10" type="noConversion"/>
  </si>
  <si>
    <t>STA-P2282-CAMERA FOAM</t>
  </si>
  <si>
    <r>
      <rPr>
        <sz val="12"/>
        <color theme="1" tint="4.9989318521683403E-2"/>
        <rFont val="宋体"/>
        <family val="2"/>
        <charset val="134"/>
      </rPr>
      <t>相机海绵</t>
    </r>
    <phoneticPr fontId="10" type="noConversion"/>
  </si>
  <si>
    <t>STA-P2282-PCBA KCP</t>
    <phoneticPr fontId="10" type="noConversion"/>
  </si>
  <si>
    <t>KCP PCBA</t>
    <phoneticPr fontId="10" type="noConversion"/>
  </si>
  <si>
    <t>STA-P2282-PCBA FLX</t>
    <phoneticPr fontId="10" type="noConversion"/>
  </si>
  <si>
    <t>FLX PCBA</t>
    <phoneticPr fontId="10" type="noConversion"/>
  </si>
  <si>
    <t>CAMERA HONGJIA AS-DGSG8AH530D20</t>
    <phoneticPr fontId="10" type="noConversion"/>
  </si>
  <si>
    <r>
      <rPr>
        <sz val="12"/>
        <color theme="1" tint="4.9989318521683403E-2"/>
        <rFont val="宋体"/>
        <family val="2"/>
        <charset val="134"/>
      </rPr>
      <t>相机</t>
    </r>
    <phoneticPr fontId="10" type="noConversion"/>
  </si>
  <si>
    <t>BATTERY DEJI BL-4C</t>
  </si>
  <si>
    <r>
      <rPr>
        <sz val="12"/>
        <color theme="1" tint="4.9989318521683403E-2"/>
        <rFont val="宋体"/>
        <family val="2"/>
        <charset val="134"/>
      </rPr>
      <t>锂电池</t>
    </r>
    <r>
      <rPr>
        <sz val="12"/>
        <color theme="1" tint="4.9989318521683403E-2"/>
        <rFont val="Arial"/>
        <family val="2"/>
      </rPr>
      <t xml:space="preserve"> 890mAh</t>
    </r>
    <phoneticPr fontId="10" type="noConversion"/>
  </si>
  <si>
    <t>SCREEN OPSTEK YDP200B003-V1</t>
    <phoneticPr fontId="10" type="noConversion"/>
  </si>
  <si>
    <r>
      <rPr>
        <sz val="12"/>
        <color theme="1" tint="4.9989318521683403E-2"/>
        <rFont val="宋体"/>
        <family val="2"/>
        <charset val="134"/>
      </rPr>
      <t>屏幕</t>
    </r>
    <phoneticPr fontId="10" type="noConversion"/>
  </si>
  <si>
    <t>USB CABLE 30CM (USB-C MALE to USB-C MALE)</t>
  </si>
  <si>
    <r>
      <t>USB</t>
    </r>
    <r>
      <rPr>
        <sz val="12"/>
        <color theme="1" tint="4.9989318521683403E-2"/>
        <rFont val="宋体"/>
        <family val="2"/>
        <charset val="134"/>
      </rPr>
      <t>数据线</t>
    </r>
    <r>
      <rPr>
        <sz val="12"/>
        <color theme="1" tint="4.9989318521683403E-2"/>
        <rFont val="Arial"/>
        <family val="2"/>
      </rPr>
      <t xml:space="preserve"> 30CM</t>
    </r>
    <phoneticPr fontId="10" type="noConversion"/>
  </si>
  <si>
    <t>STA-P2282-SIM CARD</t>
    <phoneticPr fontId="10" type="noConversion"/>
  </si>
  <si>
    <r>
      <t xml:space="preserve">SIM </t>
    </r>
    <r>
      <rPr>
        <sz val="12"/>
        <color theme="1" tint="4.9989318521683403E-2"/>
        <rFont val="宋体"/>
        <family val="2"/>
        <charset val="134"/>
      </rPr>
      <t>卡</t>
    </r>
    <r>
      <rPr>
        <sz val="12"/>
        <color theme="1" tint="4.9989318521683403E-2"/>
        <rFont val="Arial"/>
        <family val="2"/>
      </rPr>
      <t xml:space="preserve"> (</t>
    </r>
    <r>
      <rPr>
        <sz val="12"/>
        <color theme="1" tint="4.9989318521683403E-2"/>
        <rFont val="微软雅黑"/>
        <family val="2"/>
        <charset val="134"/>
      </rPr>
      <t>客供)</t>
    </r>
    <phoneticPr fontId="10" type="noConversion"/>
  </si>
  <si>
    <t>STA-P2282-SHELL PACKAGING</t>
    <phoneticPr fontId="10" type="noConversion"/>
  </si>
  <si>
    <r>
      <rPr>
        <sz val="12"/>
        <color theme="1" tint="4.9989318521683403E-2"/>
        <rFont val="宋体"/>
        <family val="2"/>
        <charset val="134"/>
      </rPr>
      <t>产品盒</t>
    </r>
    <phoneticPr fontId="10" type="noConversion"/>
  </si>
  <si>
    <t>STA-P2282-START REGULATORY LEAFLET</t>
    <phoneticPr fontId="10" type="noConversion"/>
  </si>
  <si>
    <t>监管传单</t>
    <phoneticPr fontId="10" type="noConversion"/>
  </si>
  <si>
    <t>STA-P2282-START ANTI-TAMPER STICKER</t>
    <phoneticPr fontId="10" type="noConversion"/>
  </si>
  <si>
    <t>防拆标贴</t>
    <phoneticPr fontId="10" type="noConversion"/>
  </si>
  <si>
    <t>STA-P2282-KEYCARD HOLDER</t>
    <phoneticPr fontId="10" type="noConversion"/>
  </si>
  <si>
    <r>
      <t xml:space="preserve">SIM </t>
    </r>
    <r>
      <rPr>
        <sz val="12"/>
        <color theme="1" tint="4.9989318521683403E-2"/>
        <rFont val="宋体"/>
        <family val="2"/>
        <charset val="134"/>
      </rPr>
      <t>卡封套</t>
    </r>
    <phoneticPr fontId="10" type="noConversion"/>
  </si>
  <si>
    <t>STA-P2282-START CARD</t>
    <phoneticPr fontId="10" type="noConversion"/>
  </si>
  <si>
    <r>
      <rPr>
        <sz val="12"/>
        <color theme="1" tint="4.9989318521683403E-2"/>
        <rFont val="宋体"/>
        <family val="2"/>
        <charset val="134"/>
      </rPr>
      <t>二维码说明书</t>
    </r>
    <phoneticPr fontId="10" type="noConversion"/>
  </si>
  <si>
    <t>STICKER PAPER PET 30x20 WHITE</t>
    <phoneticPr fontId="10" type="noConversion"/>
  </si>
  <si>
    <r>
      <rPr>
        <sz val="12"/>
        <color theme="1" tint="4.9989318521683403E-2"/>
        <rFont val="微软雅黑"/>
        <family val="2"/>
        <charset val="134"/>
      </rPr>
      <t>标贴纸</t>
    </r>
    <r>
      <rPr>
        <sz val="12"/>
        <color theme="1" tint="4.9989318521683403E-2"/>
        <rFont val="Arial"/>
        <family val="2"/>
      </rPr>
      <t xml:space="preserve"> PET 30x20 </t>
    </r>
    <r>
      <rPr>
        <sz val="12"/>
        <color theme="1" tint="4.9989318521683403E-2"/>
        <rFont val="微软雅黑"/>
        <family val="2"/>
        <charset val="134"/>
      </rPr>
      <t>白色</t>
    </r>
    <r>
      <rPr>
        <sz val="12"/>
        <color theme="1" tint="4.9989318521683403E-2"/>
        <rFont val="Arial"/>
        <family val="2"/>
      </rPr>
      <t xml:space="preserve"> (IDRF)</t>
    </r>
    <phoneticPr fontId="10" type="noConversion"/>
  </si>
  <si>
    <t>STICKER PAPER 100x75 WHITE</t>
    <phoneticPr fontId="10" type="noConversion"/>
  </si>
  <si>
    <r>
      <rPr>
        <sz val="12"/>
        <color theme="1" tint="4.9989318521683403E-2"/>
        <rFont val="宋体"/>
        <family val="2"/>
        <charset val="134"/>
      </rPr>
      <t>标贴纸</t>
    </r>
    <r>
      <rPr>
        <sz val="12"/>
        <color theme="1" tint="4.9989318521683403E-2"/>
        <rFont val="Arial"/>
        <family val="2"/>
      </rPr>
      <t xml:space="preserve"> 100x75 </t>
    </r>
    <r>
      <rPr>
        <sz val="12"/>
        <color theme="1" tint="4.9989318521683403E-2"/>
        <rFont val="宋体"/>
        <family val="2"/>
        <charset val="134"/>
      </rPr>
      <t>白色</t>
    </r>
    <phoneticPr fontId="10" type="noConversion"/>
  </si>
  <si>
    <t>STICKER PAPER 10x10 WHITE</t>
    <phoneticPr fontId="10" type="noConversion"/>
  </si>
  <si>
    <r>
      <rPr>
        <sz val="12"/>
        <color theme="1" tint="4.9989318521683403E-2"/>
        <rFont val="微软雅黑"/>
        <family val="2"/>
        <charset val="134"/>
      </rPr>
      <t>标贴纸</t>
    </r>
    <r>
      <rPr>
        <sz val="12"/>
        <color theme="1" tint="4.9989318521683403E-2"/>
        <rFont val="Arial"/>
        <family val="2"/>
        <charset val="134"/>
      </rPr>
      <t xml:space="preserve"> 10x10 </t>
    </r>
    <r>
      <rPr>
        <sz val="12"/>
        <color theme="1" tint="4.9989318521683403E-2"/>
        <rFont val="微软雅黑"/>
        <family val="2"/>
        <charset val="134"/>
      </rPr>
      <t>白色</t>
    </r>
    <phoneticPr fontId="10" type="noConversion"/>
  </si>
  <si>
    <t>CARTON LAYER 350x325x3</t>
    <phoneticPr fontId="10" type="noConversion"/>
  </si>
  <si>
    <t>衬板 350x325x3</t>
    <phoneticPr fontId="10" type="noConversion"/>
  </si>
  <si>
    <t>CARTON RSB 365x340x285</t>
    <phoneticPr fontId="10" type="noConversion"/>
  </si>
  <si>
    <t>纸箱 365x340x285</t>
    <phoneticPr fontId="10" type="noConversion"/>
  </si>
  <si>
    <t>PALLET SEA 1130x790x130</t>
    <phoneticPr fontId="10" type="noConversion"/>
  </si>
  <si>
    <t>免熏蒸托盘 1130x790x130</t>
    <phoneticPr fontId="10" type="noConversion"/>
  </si>
  <si>
    <t>STA-P2282-STATUS Keycard SHELL</t>
    <phoneticPr fontId="10" type="noConversion"/>
  </si>
  <si>
    <t>电子钱包</t>
  </si>
  <si>
    <t>-</t>
    <phoneticPr fontId="10" type="noConversion"/>
  </si>
  <si>
    <t>5050040912</t>
    <phoneticPr fontId="10" type="noConversion"/>
  </si>
  <si>
    <t>5050040102</t>
    <phoneticPr fontId="10" type="noConversion"/>
  </si>
  <si>
    <t>5050090201</t>
    <phoneticPr fontId="10" type="noConversion"/>
  </si>
  <si>
    <t>STA-P2282-STATUS Keycard SHELL</t>
    <phoneticPr fontId="10" type="noConversion"/>
  </si>
  <si>
    <t>2/60</t>
    <phoneticPr fontId="10" type="noConversion"/>
  </si>
  <si>
    <t>1/60</t>
    <phoneticPr fontId="10" type="noConversion"/>
  </si>
  <si>
    <t>1/2520</t>
    <phoneticPr fontId="10" type="noConversion"/>
  </si>
  <si>
    <t>M</t>
    <phoneticPr fontId="10" type="noConversion"/>
  </si>
  <si>
    <t>P</t>
    <phoneticPr fontId="10" type="noConversion"/>
  </si>
  <si>
    <t>C</t>
    <phoneticPr fontId="10" type="noConversion"/>
  </si>
  <si>
    <t>2282-001</t>
  </si>
  <si>
    <t>03</t>
  </si>
  <si>
    <t>2282-002</t>
  </si>
  <si>
    <t>02</t>
  </si>
  <si>
    <t>2282-004</t>
  </si>
  <si>
    <t>2282-003</t>
  </si>
  <si>
    <t>2282-005</t>
  </si>
  <si>
    <t>07</t>
  </si>
  <si>
    <t>2282-006</t>
  </si>
  <si>
    <t>00</t>
  </si>
  <si>
    <t>2282-007</t>
  </si>
  <si>
    <t>2282-008</t>
  </si>
  <si>
    <t>2282-009</t>
  </si>
  <si>
    <t>2282-010</t>
  </si>
  <si>
    <t>2282-011</t>
  </si>
  <si>
    <t>01</t>
  </si>
  <si>
    <t>FLX-2208-61x</t>
  </si>
  <si>
    <t>3.0.0</t>
  </si>
  <si>
    <t>AS-DGSG8AH530D20-45-241112</t>
    <phoneticPr fontId="10" type="noConversion"/>
  </si>
  <si>
    <t>OPSTEK - YDP200B003-V1</t>
    <phoneticPr fontId="10" type="noConversion"/>
  </si>
  <si>
    <t>INJECTION</t>
  </si>
  <si>
    <t>COMPRESSION</t>
  </si>
  <si>
    <t>CUTTING</t>
  </si>
  <si>
    <t>ELEC</t>
  </si>
  <si>
    <t>SOURCING</t>
  </si>
  <si>
    <t>BLACK RAL9004</t>
  </si>
  <si>
    <t>YS 1282</t>
  </si>
  <si>
    <t>PAINTING</t>
  </si>
  <si>
    <t>TRANSPARENT</t>
  </si>
  <si>
    <t>SERIGRAPHY</t>
  </si>
  <si>
    <t>DUAL TAPE</t>
  </si>
  <si>
    <t>BLACK</t>
  </si>
  <si>
    <t>PE SINGLE TAPE</t>
  </si>
  <si>
    <t>PE DUAL TAPE</t>
  </si>
  <si>
    <t>AS-DGSG8AH530D20</t>
    <phoneticPr fontId="10" type="noConversion"/>
  </si>
  <si>
    <t>OPSTEK - YDP200B003-V1</t>
  </si>
  <si>
    <t>RP</t>
  </si>
  <si>
    <t>Upadte with Electonics parts</t>
  </si>
  <si>
    <t>DL</t>
  </si>
  <si>
    <t>Indice sup. TOP - KEYBOARD SLEEVE</t>
  </si>
  <si>
    <t>Indice sup. TOP - MIDDLE FRAME - SIDE BUTTON - BOTTOM COVER</t>
  </si>
  <si>
    <t>Indice sup. TOP - KEYBOARD SLEEVE, SIDE BUTTON, CAMERA FOAM</t>
  </si>
  <si>
    <t>Indice sup. SIDE BUTTON</t>
  </si>
  <si>
    <t>Indice sup. MIDDLE FRAME - BOTTOM COVER</t>
  </si>
  <si>
    <t>Indice sup. KEYBOARD SLEEVE</t>
  </si>
  <si>
    <t>AIS Creation</t>
    <phoneticPr fontId="10" type="noConversion"/>
  </si>
  <si>
    <r>
      <t>1.change the description of 4010000281 from STA-P2282-WINDOW to STA-P2282-WINDOW WITH PROTECTION</t>
    </r>
    <r>
      <rPr>
        <sz val="11"/>
        <rFont val="宋体"/>
        <family val="2"/>
        <charset val="134"/>
      </rPr>
      <t>，</t>
    </r>
    <r>
      <rPr>
        <sz val="11"/>
        <rFont val="Arial"/>
        <family val="2"/>
      </rPr>
      <t>change the description of 4010000282 from STA-P2282-CAMERA WINDOW to STA-P2282-CAMERA WINDOW WITH PROTECTION
2.Add STA-P2282-START REGULATORY LEAFLET,qty:1
3.add STA-P2282-START ANTI-TAMPER STICKER,qty:1
4.add STA-P2282-SIM CARD</t>
    </r>
    <r>
      <rPr>
        <sz val="11"/>
        <rFont val="宋体"/>
        <family val="2"/>
        <charset val="134"/>
      </rPr>
      <t>，</t>
    </r>
    <r>
      <rPr>
        <sz val="11"/>
        <rFont val="Arial"/>
        <family val="2"/>
      </rPr>
      <t>qty</t>
    </r>
    <r>
      <rPr>
        <sz val="11"/>
        <rFont val="宋体"/>
        <family val="2"/>
        <charset val="134"/>
      </rPr>
      <t>：2</t>
    </r>
    <phoneticPr fontId="10" type="noConversion"/>
  </si>
  <si>
    <t>1.add 'CARTON LAYER 355x335x3,qty:1/60
2.add 'CARTON RSB 370x350x285 ,qty:1/60
3.add 'PALLET SEA 1130x790x130 ,qty:1/2520</t>
    <phoneticPr fontId="10" type="noConversion"/>
  </si>
  <si>
    <r>
      <t>1.add STA-P2282-KEYBOARD SLEEVE</t>
    </r>
    <r>
      <rPr>
        <sz val="11"/>
        <rFont val="宋体"/>
        <family val="2"/>
        <charset val="134"/>
      </rPr>
      <t>，</t>
    </r>
    <r>
      <rPr>
        <sz val="11"/>
        <rFont val="Arial"/>
        <family val="2"/>
      </rPr>
      <t>qty</t>
    </r>
    <r>
      <rPr>
        <sz val="11"/>
        <rFont val="宋体"/>
        <family val="2"/>
        <charset val="134"/>
      </rPr>
      <t>：1</t>
    </r>
    <phoneticPr fontId="10" type="noConversion"/>
  </si>
  <si>
    <r>
      <t>1.add STICKER PAPER PET 30x20 WHITE</t>
    </r>
    <r>
      <rPr>
        <sz val="11"/>
        <rFont val="宋体"/>
        <family val="2"/>
        <charset val="134"/>
      </rPr>
      <t>，</t>
    </r>
    <r>
      <rPr>
        <sz val="11"/>
        <rFont val="Arial"/>
        <family val="2"/>
      </rPr>
      <t>qty</t>
    </r>
    <r>
      <rPr>
        <sz val="11"/>
        <rFont val="宋体"/>
        <family val="2"/>
        <charset val="134"/>
      </rPr>
      <t>：1</t>
    </r>
    <r>
      <rPr>
        <sz val="11"/>
        <rFont val="Arial"/>
        <family val="2"/>
      </rPr>
      <t xml:space="preserve">
2.add 'STICKER PAPER 100x75 WHITE</t>
    </r>
    <r>
      <rPr>
        <sz val="11"/>
        <rFont val="宋体"/>
        <family val="2"/>
        <charset val="134"/>
      </rPr>
      <t>，qty：2/60</t>
    </r>
    <r>
      <rPr>
        <sz val="11"/>
        <rFont val="Arial"/>
        <family val="2"/>
      </rPr>
      <t xml:space="preserve">
3.change product name from STA-P2282-STATUS KPRO to STA-P2282-STATUS Keycard SHELL</t>
    </r>
    <phoneticPr fontId="10" type="noConversion"/>
  </si>
  <si>
    <r>
      <t>1.add STICKER PAPER 10x10 WHITE</t>
    </r>
    <r>
      <rPr>
        <sz val="11"/>
        <rFont val="宋体"/>
        <family val="2"/>
        <charset val="134"/>
      </rPr>
      <t>，</t>
    </r>
    <r>
      <rPr>
        <sz val="11"/>
        <rFont val="Arial"/>
        <family val="2"/>
      </rPr>
      <t>qty</t>
    </r>
    <r>
      <rPr>
        <sz val="11"/>
        <rFont val="宋体"/>
        <family val="2"/>
        <charset val="134"/>
      </rPr>
      <t>：1</t>
    </r>
    <phoneticPr fontId="10" type="noConversion"/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</si>
  <si>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</si>
  <si>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</si>
  <si>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</si>
  <si>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</si>
  <si>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</si>
  <si>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</si>
  <si>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</si>
  <si>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</si>
  <si>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</si>
  <si>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</si>
  <si>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</si>
  <si>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</si>
  <si>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</si>
  <si>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</si>
  <si>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V15</t>
  </si>
  <si>
    <t>V16</t>
  </si>
  <si>
    <t>V17</t>
  </si>
  <si>
    <t>rebecca</t>
    <phoneticPr fontId="10" type="noConversion"/>
  </si>
  <si>
    <t xml:space="preserve">KEN </t>
    <phoneticPr fontId="10" type="noConversion"/>
  </si>
  <si>
    <t>STATUS</t>
    <phoneticPr fontId="10" type="noConversion"/>
  </si>
  <si>
    <t>KPRO</t>
    <phoneticPr fontId="10" type="noConversion"/>
  </si>
  <si>
    <t>P2282</t>
    <phoneticPr fontId="10" type="noConversion"/>
  </si>
  <si>
    <t>1.Change BOM format
2.change description of 5050010572 from 'CARTON RSB 370x350x285  to CARTON RSB 365x340x285
3.change description of 5050020251 from  'CARTON LAYER 355x335x3 to 350x325x3</t>
    <phoneticPr fontId="10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</si>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</sst>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/mm/yy;@"/>
  </numFmts>
  <fonts count="45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8"/>
      <name val="Bookman Old Style"/>
      <family val="1"/>
    </font>
    <font>
      <b/>
      <sz val="14"/>
      <color indexed="48"/>
      <name val="Arial"/>
      <family val="2"/>
    </font>
    <font>
      <b/>
      <sz val="12"/>
      <name val="Bookman Old Style"/>
      <family val="1"/>
    </font>
    <font>
      <sz val="8"/>
      <name val="Bookman Old Style"/>
      <family val="1"/>
    </font>
    <font>
      <sz val="12"/>
      <name val="Arial"/>
      <family val="2"/>
    </font>
    <font>
      <sz val="6"/>
      <name val="Bookman Old Style"/>
      <family val="1"/>
    </font>
    <font>
      <sz val="9"/>
      <color theme="1"/>
      <name val="Bookman Old Style"/>
      <family val="1"/>
    </font>
    <font>
      <sz val="10"/>
      <color rgb="FFFF0000"/>
      <name val="Arial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b/>
      <sz val="10"/>
      <color indexed="48"/>
      <name val="Arial"/>
      <family val="2"/>
    </font>
    <font>
      <b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b/>
      <sz val="24"/>
      <name val="Bookman Old Style"/>
      <family val="1"/>
    </font>
    <font>
      <b/>
      <sz val="16"/>
      <color rgb="FF000000"/>
      <name val="DengXian"/>
      <charset val="134"/>
    </font>
    <font>
      <sz val="11"/>
      <color rgb="FF000000"/>
      <name val="DengXian"/>
      <charset val="134"/>
    </font>
    <font>
      <sz val="16"/>
      <color rgb="FF000000"/>
      <name val="DengXian"/>
      <charset val="134"/>
    </font>
    <font>
      <sz val="12"/>
      <name val="宋体"/>
      <family val="2"/>
      <charset val="134"/>
    </font>
    <font>
      <sz val="12"/>
      <color theme="1" tint="4.9989318521683403E-2"/>
      <name val="Arial"/>
      <family val="2"/>
    </font>
    <font>
      <sz val="12"/>
      <color theme="1" tint="4.9989318521683403E-2"/>
      <name val="宋体"/>
      <family val="2"/>
      <charset val="134"/>
    </font>
    <font>
      <sz val="12"/>
      <color theme="1" tint="4.9989318521683403E-2"/>
      <name val="微软雅黑"/>
      <family val="2"/>
      <charset val="134"/>
    </font>
    <font>
      <sz val="12"/>
      <color theme="1" tint="4.9989318521683403E-2"/>
      <name val="Arial"/>
      <family val="2"/>
      <charset val="134"/>
    </font>
    <font>
      <sz val="12"/>
      <color rgb="FFFF0000"/>
      <name val="Arial"/>
      <family val="2"/>
    </font>
    <font>
      <b/>
      <sz val="12"/>
      <color theme="1" tint="4.9989318521683403E-2"/>
      <name val="Arial"/>
      <family val="2"/>
    </font>
    <font>
      <b/>
      <sz val="12"/>
      <color theme="1" tint="4.9989318521683403E-2"/>
      <name val="宋体"/>
      <family val="3"/>
      <charset val="134"/>
    </font>
    <font>
      <b/>
      <sz val="12"/>
      <color theme="1"/>
      <name val="Arial"/>
      <family val="2"/>
    </font>
    <font>
      <sz val="11"/>
      <name val="宋体"/>
      <family val="2"/>
      <charset val="134"/>
    </font>
    <font>
      <sz val="9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1" fillId="0" borderId="0"/>
    <xf numFmtId="0" fontId="11" fillId="0" borderId="0"/>
    <xf numFmtId="0" fontId="6" fillId="0" borderId="1" applyNumberFormat="0" applyFill="0" applyAlignment="0" applyProtection="0"/>
    <xf numFmtId="0" fontId="16" fillId="8" borderId="0"/>
    <xf numFmtId="0" fontId="1" fillId="0" borderId="0"/>
  </cellStyleXfs>
  <cellXfs count="194">
    <xf numFmtId="0" fontId="0" fillId="0" borderId="0" xfId="0"/>
    <xf numFmtId="0" fontId="10" fillId="0" borderId="0" xfId="8" applyFont="1"/>
    <xf numFmtId="0" fontId="15" fillId="0" borderId="0" xfId="8" applyFont="1" applyAlignment="1">
      <alignment vertical="center"/>
    </xf>
    <xf numFmtId="0" fontId="15" fillId="0" borderId="0" xfId="8" applyFont="1" applyAlignment="1">
      <alignment horizontal="left" vertical="center"/>
    </xf>
    <xf numFmtId="0" fontId="15" fillId="0" borderId="0" xfId="8" applyFont="1"/>
    <xf numFmtId="0" fontId="15" fillId="0" borderId="0" xfId="8" applyFont="1" applyAlignment="1">
      <alignment horizontal="center"/>
    </xf>
    <xf numFmtId="0" fontId="3" fillId="0" borderId="0" xfId="8" applyFont="1" applyAlignment="1">
      <alignment horizontal="center" vertical="center"/>
    </xf>
    <xf numFmtId="0" fontId="7" fillId="0" borderId="0" xfId="8" applyFont="1" applyAlignment="1">
      <alignment horizontal="center" vertical="center"/>
    </xf>
    <xf numFmtId="0" fontId="1" fillId="0" borderId="0" xfId="8" applyFont="1" applyAlignment="1">
      <alignment horizontal="center" vertical="center"/>
    </xf>
    <xf numFmtId="49" fontId="13" fillId="0" borderId="3" xfId="8" applyNumberFormat="1" applyFont="1" applyBorder="1" applyAlignment="1">
      <alignment horizontal="center" vertical="center"/>
    </xf>
    <xf numFmtId="0" fontId="7" fillId="0" borderId="0" xfId="8" applyFont="1" applyAlignment="1">
      <alignment horizontal="center"/>
    </xf>
    <xf numFmtId="0" fontId="8" fillId="0" borderId="0" xfId="8" applyFont="1" applyAlignment="1">
      <alignment vertical="center"/>
    </xf>
    <xf numFmtId="0" fontId="7" fillId="0" borderId="0" xfId="8" applyFont="1"/>
    <xf numFmtId="0" fontId="10" fillId="0" borderId="0" xfId="8" applyFont="1" applyAlignment="1">
      <alignment horizontal="center"/>
    </xf>
    <xf numFmtId="0" fontId="17" fillId="0" borderId="0" xfId="8" applyFont="1" applyAlignment="1">
      <alignment horizontal="center" vertical="center"/>
    </xf>
    <xf numFmtId="0" fontId="4" fillId="0" borderId="0" xfId="8" applyFont="1" applyAlignment="1">
      <alignment horizontal="center" vertical="center"/>
    </xf>
    <xf numFmtId="176" fontId="3" fillId="0" borderId="0" xfId="8" applyNumberFormat="1" applyFont="1" applyAlignment="1">
      <alignment horizontal="center" vertical="center"/>
    </xf>
    <xf numFmtId="14" fontId="4" fillId="0" borderId="0" xfId="8" applyNumberFormat="1" applyFont="1" applyAlignment="1">
      <alignment horizontal="center" vertical="center"/>
    </xf>
    <xf numFmtId="0" fontId="4" fillId="0" borderId="0" xfId="8" applyFont="1" applyAlignment="1">
      <alignment horizontal="center"/>
    </xf>
    <xf numFmtId="0" fontId="4" fillId="0" borderId="0" xfId="8" applyFont="1" applyAlignment="1">
      <alignment vertical="center"/>
    </xf>
    <xf numFmtId="0" fontId="17" fillId="0" borderId="0" xfId="8" applyFont="1" applyAlignment="1">
      <alignment horizontal="center"/>
    </xf>
    <xf numFmtId="0" fontId="15" fillId="0" borderId="0" xfId="8" applyFont="1" applyAlignment="1">
      <alignment horizontal="left"/>
    </xf>
    <xf numFmtId="0" fontId="13" fillId="0" borderId="18" xfId="8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16" fillId="0" borderId="0" xfId="8" applyFont="1" applyAlignment="1">
      <alignment horizontal="center" vertical="center"/>
    </xf>
    <xf numFmtId="0" fontId="2" fillId="0" borderId="2" xfId="8" applyFont="1" applyBorder="1" applyAlignment="1">
      <alignment horizontal="left" vertical="center"/>
    </xf>
    <xf numFmtId="0" fontId="14" fillId="10" borderId="29" xfId="8" applyFont="1" applyFill="1" applyBorder="1" applyAlignment="1">
      <alignment horizontal="center" vertical="center"/>
    </xf>
    <xf numFmtId="0" fontId="14" fillId="10" borderId="31" xfId="8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0" fillId="10" borderId="11" xfId="0" applyFont="1" applyFill="1" applyBorder="1" applyAlignment="1">
      <alignment vertical="center"/>
    </xf>
    <xf numFmtId="0" fontId="21" fillId="10" borderId="11" xfId="0" applyFont="1" applyFill="1" applyBorder="1" applyAlignment="1">
      <alignment vertical="center" wrapText="1"/>
    </xf>
    <xf numFmtId="0" fontId="22" fillId="9" borderId="11" xfId="0" applyFont="1" applyFill="1" applyBorder="1" applyAlignment="1">
      <alignment vertical="center"/>
    </xf>
    <xf numFmtId="0" fontId="22" fillId="9" borderId="11" xfId="0" applyFont="1" applyFill="1" applyBorder="1" applyAlignment="1">
      <alignment horizontal="left" vertical="center"/>
    </xf>
    <xf numFmtId="0" fontId="23" fillId="9" borderId="11" xfId="0" applyFont="1" applyFill="1" applyBorder="1" applyAlignment="1">
      <alignment vertical="center"/>
    </xf>
    <xf numFmtId="0" fontId="23" fillId="9" borderId="11" xfId="0" applyFont="1" applyFill="1" applyBorder="1" applyAlignment="1">
      <alignment vertical="center" wrapText="1"/>
    </xf>
    <xf numFmtId="49" fontId="10" fillId="0" borderId="0" xfId="8" applyNumberFormat="1" applyFont="1" applyAlignment="1">
      <alignment horizontal="center"/>
    </xf>
    <xf numFmtId="49" fontId="9" fillId="0" borderId="27" xfId="8" applyNumberFormat="1" applyFont="1" applyBorder="1" applyAlignment="1">
      <alignment horizontal="center" vertical="center"/>
    </xf>
    <xf numFmtId="0" fontId="9" fillId="0" borderId="26" xfId="8" applyFont="1" applyBorder="1" applyAlignment="1">
      <alignment horizontal="right" vertical="center"/>
    </xf>
    <xf numFmtId="0" fontId="4" fillId="0" borderId="11" xfId="8" applyFont="1" applyBorder="1" applyAlignment="1">
      <alignment horizontal="center" vertical="center"/>
    </xf>
    <xf numFmtId="0" fontId="14" fillId="10" borderId="30" xfId="8" applyFont="1" applyFill="1" applyBorder="1" applyAlignment="1">
      <alignment horizontal="center" vertical="center"/>
    </xf>
    <xf numFmtId="14" fontId="7" fillId="0" borderId="0" xfId="8" applyNumberFormat="1" applyFont="1" applyAlignment="1">
      <alignment horizontal="center" vertical="center" wrapText="1"/>
    </xf>
    <xf numFmtId="0" fontId="7" fillId="0" borderId="0" xfId="8" applyFont="1" applyAlignment="1">
      <alignment horizontal="center" vertical="center" wrapText="1"/>
    </xf>
    <xf numFmtId="0" fontId="8" fillId="0" borderId="0" xfId="8" applyFont="1" applyAlignment="1">
      <alignment horizontal="left" vertical="center" wrapText="1"/>
    </xf>
    <xf numFmtId="176" fontId="8" fillId="0" borderId="0" xfId="8" applyNumberFormat="1" applyFont="1" applyAlignment="1">
      <alignment horizontal="center" vertical="center" wrapText="1"/>
    </xf>
    <xf numFmtId="0" fontId="8" fillId="0" borderId="0" xfId="8" applyFont="1" applyAlignment="1">
      <alignment horizontal="center" vertical="center" wrapText="1"/>
    </xf>
    <xf numFmtId="0" fontId="7" fillId="0" borderId="0" xfId="8" applyFont="1" applyAlignment="1">
      <alignment vertical="center" wrapText="1"/>
    </xf>
    <xf numFmtId="0" fontId="0" fillId="13" borderId="0" xfId="0" applyFill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14" fillId="12" borderId="30" xfId="8" applyFont="1" applyFill="1" applyBorder="1" applyAlignment="1">
      <alignment horizontal="center" vertical="center"/>
    </xf>
    <xf numFmtId="0" fontId="26" fillId="0" borderId="31" xfId="8" applyFont="1" applyBorder="1" applyAlignment="1">
      <alignment horizontal="center" vertical="center" wrapText="1"/>
    </xf>
    <xf numFmtId="0" fontId="25" fillId="0" borderId="0" xfId="8" applyFont="1" applyAlignment="1">
      <alignment vertical="center"/>
    </xf>
    <xf numFmtId="0" fontId="25" fillId="0" borderId="15" xfId="8" applyFont="1" applyBorder="1" applyAlignment="1">
      <alignment vertical="center"/>
    </xf>
    <xf numFmtId="49" fontId="1" fillId="0" borderId="0" xfId="8" applyNumberFormat="1" applyFont="1" applyAlignment="1">
      <alignment horizontal="center"/>
    </xf>
    <xf numFmtId="0" fontId="1" fillId="0" borderId="0" xfId="8" applyFont="1" applyAlignment="1">
      <alignment horizontal="center"/>
    </xf>
    <xf numFmtId="0" fontId="2" fillId="0" borderId="0" xfId="8" applyFont="1" applyAlignment="1">
      <alignment vertical="center"/>
    </xf>
    <xf numFmtId="49" fontId="27" fillId="0" borderId="0" xfId="8" applyNumberFormat="1" applyFont="1" applyAlignment="1">
      <alignment vertical="center"/>
    </xf>
    <xf numFmtId="0" fontId="2" fillId="10" borderId="11" xfId="8" applyFont="1" applyFill="1" applyBorder="1" applyAlignment="1">
      <alignment horizontal="center" vertical="center" wrapText="1"/>
    </xf>
    <xf numFmtId="0" fontId="28" fillId="10" borderId="11" xfId="8" applyFont="1" applyFill="1" applyBorder="1" applyAlignment="1">
      <alignment horizontal="center" vertical="center" wrapText="1"/>
    </xf>
    <xf numFmtId="0" fontId="28" fillId="11" borderId="11" xfId="8" applyFont="1" applyFill="1" applyBorder="1" applyAlignment="1">
      <alignment horizontal="center" vertical="center" wrapText="1"/>
    </xf>
    <xf numFmtId="0" fontId="10" fillId="0" borderId="0" xfId="8" applyFont="1" applyAlignment="1">
      <alignment vertical="center" wrapText="1"/>
    </xf>
    <xf numFmtId="0" fontId="10" fillId="0" borderId="0" xfId="8" applyFont="1" applyAlignment="1">
      <alignment horizontal="center" vertical="center" wrapText="1"/>
    </xf>
    <xf numFmtId="49" fontId="10" fillId="0" borderId="0" xfId="8" applyNumberFormat="1" applyFont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 wrapText="1"/>
    </xf>
    <xf numFmtId="0" fontId="28" fillId="0" borderId="11" xfId="8" applyFont="1" applyBorder="1" applyAlignment="1">
      <alignment horizontal="center" vertical="center" wrapText="1"/>
    </xf>
    <xf numFmtId="0" fontId="24" fillId="0" borderId="11" xfId="8" applyFont="1" applyBorder="1" applyAlignment="1">
      <alignment horizontal="center" vertical="center" wrapText="1"/>
    </xf>
    <xf numFmtId="0" fontId="1" fillId="0" borderId="11" xfId="8" applyFont="1" applyBorder="1" applyAlignment="1">
      <alignment horizontal="center" vertical="center" wrapText="1"/>
    </xf>
    <xf numFmtId="49" fontId="1" fillId="0" borderId="11" xfId="8" applyNumberFormat="1" applyFont="1" applyBorder="1" applyAlignment="1">
      <alignment horizontal="center" vertical="center"/>
    </xf>
    <xf numFmtId="0" fontId="16" fillId="0" borderId="0" xfId="8" applyFont="1" applyAlignment="1">
      <alignment vertical="top"/>
    </xf>
    <xf numFmtId="49" fontId="1" fillId="0" borderId="11" xfId="8" quotePrefix="1" applyNumberFormat="1" applyFont="1" applyBorder="1" applyAlignment="1">
      <alignment horizontal="center" vertical="center"/>
    </xf>
    <xf numFmtId="0" fontId="9" fillId="0" borderId="11" xfId="8" applyFont="1" applyBorder="1" applyAlignment="1">
      <alignment horizontal="center" vertical="center" wrapText="1"/>
    </xf>
    <xf numFmtId="0" fontId="26" fillId="0" borderId="0" xfId="8" applyFont="1" applyAlignment="1">
      <alignment horizontal="center" vertical="center" wrapText="1"/>
    </xf>
    <xf numFmtId="49" fontId="27" fillId="0" borderId="0" xfId="8" applyNumberFormat="1" applyFont="1" applyAlignment="1">
      <alignment horizontal="center" vertical="center" wrapText="1"/>
    </xf>
    <xf numFmtId="0" fontId="9" fillId="0" borderId="12" xfId="8" applyFont="1" applyBorder="1" applyAlignment="1">
      <alignment horizontal="left" vertical="center" wrapText="1"/>
    </xf>
    <xf numFmtId="0" fontId="9" fillId="0" borderId="12" xfId="8" applyFont="1" applyBorder="1" applyAlignment="1">
      <alignment horizontal="center" vertical="center" wrapText="1"/>
    </xf>
    <xf numFmtId="0" fontId="16" fillId="0" borderId="12" xfId="8" applyFont="1" applyBorder="1" applyAlignment="1">
      <alignment horizontal="center" vertical="center" wrapText="1"/>
    </xf>
    <xf numFmtId="0" fontId="35" fillId="0" borderId="12" xfId="8" applyFont="1" applyBorder="1" applyAlignment="1">
      <alignment horizontal="center" vertical="center" wrapText="1"/>
    </xf>
    <xf numFmtId="0" fontId="36" fillId="0" borderId="12" xfId="8" applyFont="1" applyBorder="1" applyAlignment="1">
      <alignment horizontal="center" vertical="center" wrapText="1"/>
    </xf>
    <xf numFmtId="0" fontId="35" fillId="0" borderId="12" xfId="8" quotePrefix="1" applyFont="1" applyBorder="1" applyAlignment="1">
      <alignment horizontal="center" vertical="center" wrapText="1"/>
    </xf>
    <xf numFmtId="0" fontId="38" fillId="0" borderId="12" xfId="8" applyFont="1" applyBorder="1" applyAlignment="1">
      <alignment horizontal="center" vertical="center" wrapText="1"/>
    </xf>
    <xf numFmtId="0" fontId="39" fillId="0" borderId="12" xfId="8" quotePrefix="1" applyFont="1" applyBorder="1" applyAlignment="1">
      <alignment horizontal="center" vertical="center" wrapText="1"/>
    </xf>
    <xf numFmtId="0" fontId="36" fillId="0" borderId="12" xfId="8" quotePrefix="1" applyFont="1" applyBorder="1" applyAlignment="1">
      <alignment horizontal="center" vertical="center" wrapText="1"/>
    </xf>
    <xf numFmtId="0" fontId="40" fillId="0" borderId="11" xfId="8" applyFont="1" applyBorder="1" applyAlignment="1">
      <alignment horizontal="center" vertical="center" wrapText="1"/>
    </xf>
    <xf numFmtId="0" fontId="41" fillId="0" borderId="11" xfId="8" applyFont="1" applyBorder="1" applyAlignment="1">
      <alignment horizontal="center" vertical="center" wrapText="1"/>
    </xf>
    <xf numFmtId="0" fontId="42" fillId="0" borderId="11" xfId="8" applyFont="1" applyBorder="1" applyAlignment="1">
      <alignment horizontal="center" vertical="center" wrapText="1"/>
    </xf>
    <xf numFmtId="0" fontId="16" fillId="0" borderId="11" xfId="8" applyFont="1" applyBorder="1" applyAlignment="1">
      <alignment horizontal="center" vertical="center"/>
    </xf>
    <xf numFmtId="0" fontId="35" fillId="0" borderId="11" xfId="8" applyFont="1" applyBorder="1" applyAlignment="1">
      <alignment horizontal="center" vertical="center"/>
    </xf>
    <xf numFmtId="0" fontId="16" fillId="0" borderId="11" xfId="8" quotePrefix="1" applyFont="1" applyBorder="1" applyAlignment="1">
      <alignment horizontal="center" vertical="center" wrapText="1"/>
    </xf>
    <xf numFmtId="0" fontId="35" fillId="0" borderId="11" xfId="8" quotePrefix="1" applyFont="1" applyBorder="1" applyAlignment="1">
      <alignment horizontal="center" vertical="center" wrapText="1"/>
    </xf>
    <xf numFmtId="0" fontId="35" fillId="0" borderId="11" xfId="8" applyFont="1" applyBorder="1" applyAlignment="1">
      <alignment horizontal="center" vertical="center" wrapText="1"/>
    </xf>
    <xf numFmtId="0" fontId="16" fillId="0" borderId="12" xfId="8" applyFont="1" applyBorder="1" applyAlignment="1">
      <alignment horizontal="center" vertical="center"/>
    </xf>
    <xf numFmtId="0" fontId="35" fillId="0" borderId="12" xfId="8" applyFont="1" applyBorder="1" applyAlignment="1">
      <alignment horizontal="center" vertical="center"/>
    </xf>
    <xf numFmtId="0" fontId="42" fillId="0" borderId="11" xfId="8" applyFont="1" applyBorder="1" applyAlignment="1">
      <alignment horizontal="center" vertical="center"/>
    </xf>
    <xf numFmtId="14" fontId="4" fillId="0" borderId="11" xfId="8" applyNumberFormat="1" applyFont="1" applyBorder="1" applyAlignment="1">
      <alignment horizontal="center" vertical="center"/>
    </xf>
    <xf numFmtId="0" fontId="4" fillId="0" borderId="11" xfId="8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4" fillId="0" borderId="11" xfId="8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8" fillId="0" borderId="20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9" xfId="8" applyFont="1" applyBorder="1" applyAlignment="1">
      <alignment horizontal="center" vertical="center" wrapText="1"/>
    </xf>
    <xf numFmtId="0" fontId="7" fillId="0" borderId="20" xfId="8" applyFont="1" applyBorder="1" applyAlignment="1">
      <alignment horizontal="center" vertical="center"/>
    </xf>
    <xf numFmtId="0" fontId="7" fillId="0" borderId="7" xfId="8" applyFont="1" applyBorder="1" applyAlignment="1">
      <alignment horizontal="center" vertical="center"/>
    </xf>
    <xf numFmtId="0" fontId="7" fillId="0" borderId="9" xfId="8" applyFont="1" applyBorder="1" applyAlignment="1">
      <alignment horizontal="center" vertical="center"/>
    </xf>
    <xf numFmtId="0" fontId="2" fillId="0" borderId="2" xfId="8" applyFont="1" applyBorder="1" applyAlignment="1">
      <alignment vertical="center"/>
    </xf>
    <xf numFmtId="0" fontId="2" fillId="0" borderId="4" xfId="8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4" fillId="12" borderId="30" xfId="8" applyFont="1" applyFill="1" applyBorder="1" applyAlignment="1">
      <alignment horizontal="center" vertical="center"/>
    </xf>
    <xf numFmtId="0" fontId="0" fillId="12" borderId="30" xfId="0" applyFill="1" applyBorder="1" applyAlignment="1">
      <alignment horizontal="center" vertical="center"/>
    </xf>
    <xf numFmtId="0" fontId="12" fillId="0" borderId="21" xfId="8" applyFont="1" applyBorder="1" applyAlignment="1">
      <alignment horizontal="center" vertical="center" wrapText="1"/>
    </xf>
    <xf numFmtId="0" fontId="12" fillId="0" borderId="22" xfId="8" applyFont="1" applyBorder="1" applyAlignment="1">
      <alignment horizontal="center" vertical="center" wrapText="1"/>
    </xf>
    <xf numFmtId="0" fontId="12" fillId="0" borderId="23" xfId="8" applyFont="1" applyBorder="1" applyAlignment="1">
      <alignment horizontal="center" vertical="center" wrapText="1"/>
    </xf>
    <xf numFmtId="0" fontId="12" fillId="0" borderId="19" xfId="8" applyFont="1" applyBorder="1" applyAlignment="1">
      <alignment horizontal="center" vertical="center" wrapText="1"/>
    </xf>
    <xf numFmtId="0" fontId="12" fillId="0" borderId="0" xfId="8" applyFont="1" applyAlignment="1">
      <alignment horizontal="center" vertical="center" wrapText="1"/>
    </xf>
    <xf numFmtId="0" fontId="12" fillId="0" borderId="8" xfId="8" applyFont="1" applyBorder="1" applyAlignment="1">
      <alignment horizontal="center" vertical="center" wrapText="1"/>
    </xf>
    <xf numFmtId="0" fontId="12" fillId="0" borderId="24" xfId="8" applyFont="1" applyBorder="1" applyAlignment="1">
      <alignment horizontal="center" vertical="center" wrapText="1"/>
    </xf>
    <xf numFmtId="0" fontId="12" fillId="0" borderId="25" xfId="8" applyFont="1" applyBorder="1" applyAlignment="1">
      <alignment horizontal="center" vertical="center" wrapText="1"/>
    </xf>
    <xf numFmtId="0" fontId="12" fillId="0" borderId="10" xfId="8" applyFont="1" applyBorder="1" applyAlignment="1">
      <alignment horizontal="center" vertical="center" wrapText="1"/>
    </xf>
    <xf numFmtId="0" fontId="1" fillId="0" borderId="21" xfId="8" applyFont="1" applyBorder="1" applyAlignment="1">
      <alignment horizontal="center"/>
    </xf>
    <xf numFmtId="0" fontId="1" fillId="0" borderId="23" xfId="8" applyFont="1" applyBorder="1" applyAlignment="1">
      <alignment horizontal="center"/>
    </xf>
    <xf numFmtId="0" fontId="1" fillId="0" borderId="24" xfId="8" applyFont="1" applyBorder="1" applyAlignment="1">
      <alignment horizontal="center"/>
    </xf>
    <xf numFmtId="0" fontId="1" fillId="0" borderId="10" xfId="8" applyFont="1" applyBorder="1" applyAlignment="1">
      <alignment horizontal="center"/>
    </xf>
    <xf numFmtId="49" fontId="27" fillId="0" borderId="27" xfId="8" applyNumberFormat="1" applyFont="1" applyBorder="1" applyAlignment="1">
      <alignment horizontal="center" vertical="center" wrapText="1"/>
    </xf>
    <xf numFmtId="49" fontId="27" fillId="0" borderId="28" xfId="8" applyNumberFormat="1" applyFont="1" applyBorder="1" applyAlignment="1">
      <alignment horizontal="center" vertical="center" wrapText="1"/>
    </xf>
    <xf numFmtId="0" fontId="9" fillId="0" borderId="36" xfId="8" applyFont="1" applyBorder="1" applyAlignment="1">
      <alignment horizontal="right" vertical="center"/>
    </xf>
    <xf numFmtId="0" fontId="9" fillId="0" borderId="37" xfId="8" applyFont="1" applyBorder="1" applyAlignment="1">
      <alignment horizontal="right" vertical="center"/>
    </xf>
    <xf numFmtId="0" fontId="9" fillId="0" borderId="34" xfId="8" applyFont="1" applyBorder="1" applyAlignment="1">
      <alignment horizontal="right" vertical="center"/>
    </xf>
    <xf numFmtId="0" fontId="30" fillId="0" borderId="32" xfId="8" applyFont="1" applyBorder="1" applyAlignment="1">
      <alignment horizontal="center" vertical="center"/>
    </xf>
    <xf numFmtId="0" fontId="30" fillId="0" borderId="6" xfId="8" applyFont="1" applyBorder="1" applyAlignment="1">
      <alignment horizontal="center" vertical="center"/>
    </xf>
    <xf numFmtId="0" fontId="30" fillId="0" borderId="33" xfId="8" applyFont="1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2" fillId="0" borderId="20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32" fillId="0" borderId="20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</cellXfs>
  <cellStyles count="12">
    <cellStyle name="Normal 2" xfId="7" xr:uid="{00000000-0005-0000-0000-000007000000}"/>
    <cellStyle name="Normal 3" xfId="10" xr:uid="{5D683A78-3587-41D2-B1F7-AEF78E6CD72C}"/>
    <cellStyle name="Normal_P881 - BOM" xfId="8" xr:uid="{00000000-0005-0000-0000-000008000000}"/>
    <cellStyle name="常规" xfId="0" builtinId="0"/>
    <cellStyle name="常规 2" xfId="11" xr:uid="{7A38C31A-AE0F-4B9C-9D33-CB3941B0E7C0}"/>
    <cellStyle name="汇总" xfId="9" builtinId="25" customBuiltin="1"/>
    <cellStyle name="着色 1" xfId="1" builtinId="29" customBuiltin="1"/>
    <cellStyle name="着色 2" xfId="2" builtinId="33" customBuiltin="1"/>
    <cellStyle name="着色 3" xfId="3" builtinId="37" customBuiltin="1"/>
    <cellStyle name="着色 4" xfId="4" builtinId="41" customBuiltin="1"/>
    <cellStyle name="着色 5" xfId="5" builtinId="45" customBuiltin="1"/>
    <cellStyle name="着色 6" xfId="6" builtinId="49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E62C3C9D-B358-47AC-BE42-F2B94C485F2F}" type="doc">
      <dgm:prSet loTypeId="urn:microsoft.com/office/officeart/2005/8/layout/hProcess6" loCatId="process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A2FC4B86-F28F-473E-9C6E-65FE34046AFD}">
      <dgm:prSet phldrT="[Text]"/>
      <dgm:spPr/>
      <dgm:t>
        <a:bodyPr/>
        <a:lstStyle/>
        <a:p>
          <a:r>
            <a:rPr lang="en-US"/>
            <a:t>R&amp;D</a:t>
          </a:r>
        </a:p>
      </dgm:t>
    </dgm:pt>
    <dgm:pt modelId="{E3AFD187-F282-4D95-97CF-68CCADDD0596}" type="parTrans" cxnId="{622BC457-5615-45ED-96D7-992B76B8ED10}">
      <dgm:prSet/>
      <dgm:spPr/>
      <dgm:t>
        <a:bodyPr/>
        <a:lstStyle/>
        <a:p>
          <a:endParaRPr lang="en-US"/>
        </a:p>
      </dgm:t>
    </dgm:pt>
    <dgm:pt modelId="{4190737A-B539-49BE-8154-B1E0FFE37EA0}" type="sibTrans" cxnId="{622BC457-5615-45ED-96D7-992B76B8ED10}">
      <dgm:prSet/>
      <dgm:spPr/>
      <dgm:t>
        <a:bodyPr/>
        <a:lstStyle/>
        <a:p>
          <a:endParaRPr lang="en-US"/>
        </a:p>
      </dgm:t>
    </dgm:pt>
    <dgm:pt modelId="{050E4315-1A8B-47BC-AA32-5FF460B6D8DD}">
      <dgm:prSet phldrT="[Text]"/>
      <dgm:spPr/>
      <dgm:t>
        <a:bodyPr/>
        <a:lstStyle/>
        <a:p>
          <a:r>
            <a:rPr lang="en-US"/>
            <a:t>Creates the BOM</a:t>
          </a:r>
        </a:p>
      </dgm:t>
    </dgm:pt>
    <dgm:pt modelId="{88A01793-E698-4948-9179-62847738B35F}" type="parTrans" cxnId="{75CF23EE-AAB5-4017-A02E-02291F656B7F}">
      <dgm:prSet/>
      <dgm:spPr/>
      <dgm:t>
        <a:bodyPr/>
        <a:lstStyle/>
        <a:p>
          <a:endParaRPr lang="en-US"/>
        </a:p>
      </dgm:t>
    </dgm:pt>
    <dgm:pt modelId="{726CF8A6-7390-490D-88E3-87091DDB493D}" type="sibTrans" cxnId="{75CF23EE-AAB5-4017-A02E-02291F656B7F}">
      <dgm:prSet/>
      <dgm:spPr/>
      <dgm:t>
        <a:bodyPr/>
        <a:lstStyle/>
        <a:p>
          <a:endParaRPr lang="en-US"/>
        </a:p>
      </dgm:t>
    </dgm:pt>
    <dgm:pt modelId="{E2799506-D271-436C-92B1-2B62D254056E}">
      <dgm:prSet phldrT="[Text]"/>
      <dgm:spPr/>
      <dgm:t>
        <a:bodyPr/>
        <a:lstStyle/>
        <a:p>
          <a:r>
            <a:rPr lang="en-US"/>
            <a:t>PMF</a:t>
          </a:r>
        </a:p>
      </dgm:t>
    </dgm:pt>
    <dgm:pt modelId="{AC86D2EC-530E-4D82-913F-C1EC9895C4E2}" type="parTrans" cxnId="{5A7B3B0B-9E9E-4CD3-961E-A61D522839F5}">
      <dgm:prSet/>
      <dgm:spPr/>
      <dgm:t>
        <a:bodyPr/>
        <a:lstStyle/>
        <a:p>
          <a:endParaRPr lang="en-US"/>
        </a:p>
      </dgm:t>
    </dgm:pt>
    <dgm:pt modelId="{57E9C8C4-8A28-42AB-B8CF-2FDE8684B26A}" type="sibTrans" cxnId="{5A7B3B0B-9E9E-4CD3-961E-A61D522839F5}">
      <dgm:prSet/>
      <dgm:spPr/>
      <dgm:t>
        <a:bodyPr/>
        <a:lstStyle/>
        <a:p>
          <a:endParaRPr lang="en-US"/>
        </a:p>
      </dgm:t>
    </dgm:pt>
    <dgm:pt modelId="{09A10E9C-07F4-4D45-9FB6-0F75FFBB0CE5}">
      <dgm:prSet phldrT="[Text]"/>
      <dgm:spPr/>
      <dgm:t>
        <a:bodyPr/>
        <a:lstStyle/>
        <a:p>
          <a:r>
            <a:rPr lang="en-US"/>
            <a:t>Validates BOM content</a:t>
          </a:r>
        </a:p>
      </dgm:t>
    </dgm:pt>
    <dgm:pt modelId="{6A610F58-34ED-4BF9-B08F-3EDC07C4B246}" type="parTrans" cxnId="{914BD5F0-0C01-4BCD-8AF3-B98970F8BC40}">
      <dgm:prSet/>
      <dgm:spPr/>
      <dgm:t>
        <a:bodyPr/>
        <a:lstStyle/>
        <a:p>
          <a:endParaRPr lang="en-US"/>
        </a:p>
      </dgm:t>
    </dgm:pt>
    <dgm:pt modelId="{422A6ED9-A949-4175-ABB5-2DFAAE454F9D}" type="sibTrans" cxnId="{914BD5F0-0C01-4BCD-8AF3-B98970F8BC40}">
      <dgm:prSet/>
      <dgm:spPr/>
      <dgm:t>
        <a:bodyPr/>
        <a:lstStyle/>
        <a:p>
          <a:endParaRPr lang="en-US"/>
        </a:p>
      </dgm:t>
    </dgm:pt>
    <dgm:pt modelId="{A89FB361-63CD-4B50-A2A5-CB2F12A39385}">
      <dgm:prSet phldrT="[Text]"/>
      <dgm:spPr/>
      <dgm:t>
        <a:bodyPr/>
        <a:lstStyle/>
        <a:p>
          <a:r>
            <a:rPr lang="en-US"/>
            <a:t>Method PE</a:t>
          </a:r>
        </a:p>
      </dgm:t>
    </dgm:pt>
    <dgm:pt modelId="{8480D9D4-F499-43CB-9328-976F8BA3F5A8}" type="parTrans" cxnId="{B8D224C6-E710-484E-926A-382DA22B89B2}">
      <dgm:prSet/>
      <dgm:spPr/>
      <dgm:t>
        <a:bodyPr/>
        <a:lstStyle/>
        <a:p>
          <a:endParaRPr lang="en-US"/>
        </a:p>
      </dgm:t>
    </dgm:pt>
    <dgm:pt modelId="{A932BD94-132C-41D0-B5B0-73193CE87100}" type="sibTrans" cxnId="{B8D224C6-E710-484E-926A-382DA22B89B2}">
      <dgm:prSet/>
      <dgm:spPr/>
      <dgm:t>
        <a:bodyPr/>
        <a:lstStyle/>
        <a:p>
          <a:endParaRPr lang="en-US"/>
        </a:p>
      </dgm:t>
    </dgm:pt>
    <dgm:pt modelId="{98AF853A-6625-4F91-B6F6-9E0EB30AB9AC}">
      <dgm:prSet phldrT="[Text]"/>
      <dgm:spPr/>
      <dgm:t>
        <a:bodyPr/>
        <a:lstStyle/>
        <a:p>
          <a:r>
            <a:rPr lang="en-US"/>
            <a:t>Adds missing elements</a:t>
          </a:r>
        </a:p>
      </dgm:t>
    </dgm:pt>
    <dgm:pt modelId="{E1856551-D2CE-4F4F-A9DA-C1F003F654A0}" type="parTrans" cxnId="{ED7F9931-F029-413B-B8E6-0B4AC9EAC16D}">
      <dgm:prSet/>
      <dgm:spPr/>
      <dgm:t>
        <a:bodyPr/>
        <a:lstStyle/>
        <a:p>
          <a:endParaRPr lang="en-US"/>
        </a:p>
      </dgm:t>
    </dgm:pt>
    <dgm:pt modelId="{3CA3B8CB-9F83-46FB-85C9-C5266AB65B7E}" type="sibTrans" cxnId="{ED7F9931-F029-413B-B8E6-0B4AC9EAC16D}">
      <dgm:prSet/>
      <dgm:spPr/>
      <dgm:t>
        <a:bodyPr/>
        <a:lstStyle/>
        <a:p>
          <a:endParaRPr lang="en-US"/>
        </a:p>
      </dgm:t>
    </dgm:pt>
    <dgm:pt modelId="{FD778329-2BB4-44E6-8A52-AD7CDB99D501}">
      <dgm:prSet/>
      <dgm:spPr/>
      <dgm:t>
        <a:bodyPr/>
        <a:lstStyle/>
        <a:p>
          <a:r>
            <a:rPr lang="en-US"/>
            <a:t>Place it on Pxxxx</a:t>
          </a:r>
        </a:p>
      </dgm:t>
    </dgm:pt>
    <dgm:pt modelId="{431DE971-86E5-4A36-83EA-8CF130BD1DD1}" type="parTrans" cxnId="{35C9E22B-AA63-4775-9B6D-527872299044}">
      <dgm:prSet/>
      <dgm:spPr/>
      <dgm:t>
        <a:bodyPr/>
        <a:lstStyle/>
        <a:p>
          <a:endParaRPr lang="en-US"/>
        </a:p>
      </dgm:t>
    </dgm:pt>
    <dgm:pt modelId="{879FE910-A01A-4FCB-BF2C-9B878E667F75}" type="sibTrans" cxnId="{35C9E22B-AA63-4775-9B6D-527872299044}">
      <dgm:prSet/>
      <dgm:spPr/>
      <dgm:t>
        <a:bodyPr/>
        <a:lstStyle/>
        <a:p>
          <a:endParaRPr lang="en-US"/>
        </a:p>
      </dgm:t>
    </dgm:pt>
    <dgm:pt modelId="{F8B26B54-454E-4471-8A10-B2805C4EE40D}">
      <dgm:prSet phldrT="[Text]"/>
      <dgm:spPr/>
      <dgm:t>
        <a:bodyPr/>
        <a:lstStyle/>
        <a:p>
          <a:r>
            <a:rPr lang="en-US"/>
            <a:t>PM</a:t>
          </a:r>
        </a:p>
      </dgm:t>
    </dgm:pt>
    <dgm:pt modelId="{64413B58-7879-45EF-B3E7-FFC72BFFF455}" type="parTrans" cxnId="{0175B5BA-237F-4741-BBD1-FA3B5DEE695B}">
      <dgm:prSet/>
      <dgm:spPr/>
      <dgm:t>
        <a:bodyPr/>
        <a:lstStyle/>
        <a:p>
          <a:endParaRPr lang="en-US"/>
        </a:p>
      </dgm:t>
    </dgm:pt>
    <dgm:pt modelId="{F71D3020-F88D-4F72-92F1-4C85CEE18CD1}" type="sibTrans" cxnId="{0175B5BA-237F-4741-BBD1-FA3B5DEE695B}">
      <dgm:prSet/>
      <dgm:spPr/>
      <dgm:t>
        <a:bodyPr/>
        <a:lstStyle/>
        <a:p>
          <a:endParaRPr lang="en-US"/>
        </a:p>
      </dgm:t>
    </dgm:pt>
    <dgm:pt modelId="{2985F371-8BC4-40E7-9306-18ED2561858A}">
      <dgm:prSet phldrT="[Text]"/>
      <dgm:spPr/>
      <dgm:t>
        <a:bodyPr/>
        <a:lstStyle/>
        <a:p>
          <a:r>
            <a:rPr lang="en-US"/>
            <a:t>Validates BOM content </a:t>
          </a:r>
        </a:p>
        <a:p>
          <a:r>
            <a:rPr lang="en-US"/>
            <a:t>(AIS : PMC / MIF : PMF)</a:t>
          </a:r>
        </a:p>
      </dgm:t>
    </dgm:pt>
    <dgm:pt modelId="{529BFA4E-0D1D-42A3-8EF3-7F5D81676497}" type="parTrans" cxnId="{E03F1A7D-CF30-468C-A2BF-F4CF9097FD9E}">
      <dgm:prSet/>
      <dgm:spPr/>
      <dgm:t>
        <a:bodyPr/>
        <a:lstStyle/>
        <a:p>
          <a:endParaRPr lang="en-US"/>
        </a:p>
      </dgm:t>
    </dgm:pt>
    <dgm:pt modelId="{04D39F83-A896-4DCD-BBE5-4305E345772E}" type="sibTrans" cxnId="{E03F1A7D-CF30-468C-A2BF-F4CF9097FD9E}">
      <dgm:prSet/>
      <dgm:spPr/>
      <dgm:t>
        <a:bodyPr/>
        <a:lstStyle/>
        <a:p>
          <a:endParaRPr lang="en-US"/>
        </a:p>
      </dgm:t>
    </dgm:pt>
    <dgm:pt modelId="{25126565-4BDA-430D-910F-78CEDC8E570D}">
      <dgm:prSet phldrT="[Text]"/>
      <dgm:spPr/>
      <dgm:t>
        <a:bodyPr/>
        <a:lstStyle/>
        <a:p>
          <a:r>
            <a:rPr lang="en-US"/>
            <a:t>Method PE</a:t>
          </a:r>
        </a:p>
      </dgm:t>
    </dgm:pt>
    <dgm:pt modelId="{DAA66D69-B335-45B5-BCAC-F0357CA86B2E}" type="parTrans" cxnId="{CF267DF7-68AA-49E3-9F4F-F987B39F6565}">
      <dgm:prSet/>
      <dgm:spPr/>
      <dgm:t>
        <a:bodyPr/>
        <a:lstStyle/>
        <a:p>
          <a:endParaRPr lang="en-US"/>
        </a:p>
      </dgm:t>
    </dgm:pt>
    <dgm:pt modelId="{D11A40CC-536D-477A-9F64-697492AE4EA9}" type="sibTrans" cxnId="{CF267DF7-68AA-49E3-9F4F-F987B39F6565}">
      <dgm:prSet/>
      <dgm:spPr/>
      <dgm:t>
        <a:bodyPr/>
        <a:lstStyle/>
        <a:p>
          <a:endParaRPr lang="en-US"/>
        </a:p>
      </dgm:t>
    </dgm:pt>
    <dgm:pt modelId="{8E997847-2C2F-42AC-8A53-C4CFCC880879}">
      <dgm:prSet phldrT="[Text]"/>
      <dgm:spPr/>
      <dgm:t>
        <a:bodyPr/>
        <a:lstStyle/>
        <a:p>
          <a:r>
            <a:rPr lang="en-US"/>
            <a:t>AIS : BOM clerk Input BOM in ERP</a:t>
          </a:r>
        </a:p>
      </dgm:t>
    </dgm:pt>
    <dgm:pt modelId="{2573BE71-EA45-43F2-8956-BFA1BA6B7F21}" type="parTrans" cxnId="{2A38A6E1-B395-4856-8DA6-3BB3135EF7CD}">
      <dgm:prSet/>
      <dgm:spPr/>
      <dgm:t>
        <a:bodyPr/>
        <a:lstStyle/>
        <a:p>
          <a:endParaRPr lang="en-US"/>
        </a:p>
      </dgm:t>
    </dgm:pt>
    <dgm:pt modelId="{A82A43A0-F255-4012-AEF6-7EA5DA9F79D7}" type="sibTrans" cxnId="{2A38A6E1-B395-4856-8DA6-3BB3135EF7CD}">
      <dgm:prSet/>
      <dgm:spPr/>
      <dgm:t>
        <a:bodyPr/>
        <a:lstStyle/>
        <a:p>
          <a:endParaRPr lang="en-US"/>
        </a:p>
      </dgm:t>
    </dgm:pt>
    <dgm:pt modelId="{6980728D-3EC5-4C3F-95D1-0868D5D153B0}">
      <dgm:prSet/>
      <dgm:spPr/>
      <dgm:t>
        <a:bodyPr/>
        <a:lstStyle/>
        <a:p>
          <a:r>
            <a:rPr lang="en-US"/>
            <a:t>AIS : Copy on Products Database</a:t>
          </a:r>
        </a:p>
      </dgm:t>
    </dgm:pt>
    <dgm:pt modelId="{5AD1CBFF-BD67-4009-82AD-53D5810594B5}" type="parTrans" cxnId="{E01D5CFE-426F-47DF-96AB-8BD611852DAF}">
      <dgm:prSet/>
      <dgm:spPr/>
      <dgm:t>
        <a:bodyPr/>
        <a:lstStyle/>
        <a:p>
          <a:endParaRPr lang="en-US"/>
        </a:p>
      </dgm:t>
    </dgm:pt>
    <dgm:pt modelId="{2B8DCA0E-7211-4E50-AB89-F35DA8A0D8AF}" type="sibTrans" cxnId="{E01D5CFE-426F-47DF-96AB-8BD611852DAF}">
      <dgm:prSet/>
      <dgm:spPr/>
      <dgm:t>
        <a:bodyPr/>
        <a:lstStyle/>
        <a:p>
          <a:endParaRPr lang="en-US"/>
        </a:p>
      </dgm:t>
    </dgm:pt>
    <dgm:pt modelId="{9501F9DD-FCFD-40CF-A81B-7EC4AD5487A0}">
      <dgm:prSet/>
      <dgm:spPr/>
      <dgm:t>
        <a:bodyPr/>
        <a:lstStyle/>
        <a:p>
          <a:r>
            <a:rPr lang="en-US"/>
            <a:t>MIF : customer service input BOM in ERP</a:t>
          </a:r>
        </a:p>
      </dgm:t>
    </dgm:pt>
    <dgm:pt modelId="{898A747D-BF54-47AE-BCE0-AE8E74F15D6B}" type="parTrans" cxnId="{3D61F096-1025-427B-BF03-FEFC8DFC66E1}">
      <dgm:prSet/>
      <dgm:spPr/>
      <dgm:t>
        <a:bodyPr/>
        <a:lstStyle/>
        <a:p>
          <a:endParaRPr lang="en-US"/>
        </a:p>
      </dgm:t>
    </dgm:pt>
    <dgm:pt modelId="{3E28AFAF-B65C-4651-BD90-2367E6C24DC0}" type="sibTrans" cxnId="{3D61F096-1025-427B-BF03-FEFC8DFC66E1}">
      <dgm:prSet/>
      <dgm:spPr/>
      <dgm:t>
        <a:bodyPr/>
        <a:lstStyle/>
        <a:p>
          <a:endParaRPr lang="en-US"/>
        </a:p>
      </dgm:t>
    </dgm:pt>
    <dgm:pt modelId="{867307D2-B84A-46DF-B18A-B8FE846518EB}">
      <dgm:prSet/>
      <dgm:spPr/>
      <dgm:t>
        <a:bodyPr/>
        <a:lstStyle/>
        <a:p>
          <a:r>
            <a:rPr lang="en-US"/>
            <a:t>If no design, creation by PMF</a:t>
          </a:r>
        </a:p>
      </dgm:t>
    </dgm:pt>
    <dgm:pt modelId="{64A91FB2-5F52-4063-9F3A-5AB9424B1D2E}" type="parTrans" cxnId="{2206B444-5D37-4ABF-B565-3E09BD0D7ED9}">
      <dgm:prSet/>
      <dgm:spPr/>
      <dgm:t>
        <a:bodyPr/>
        <a:lstStyle/>
        <a:p>
          <a:endParaRPr lang="en-US"/>
        </a:p>
      </dgm:t>
    </dgm:pt>
    <dgm:pt modelId="{978F7807-FDC9-46A7-AA49-058D689F3D79}" type="sibTrans" cxnId="{2206B444-5D37-4ABF-B565-3E09BD0D7ED9}">
      <dgm:prSet/>
      <dgm:spPr/>
      <dgm:t>
        <a:bodyPr/>
        <a:lstStyle/>
        <a:p>
          <a:endParaRPr lang="en-US"/>
        </a:p>
      </dgm:t>
    </dgm:pt>
    <dgm:pt modelId="{3BB18A80-F111-402D-88BD-BF2032DCE7DB}" type="pres">
      <dgm:prSet presAssocID="{E62C3C9D-B358-47AC-BE42-F2B94C485F2F}" presName="theList" presStyleCnt="0">
        <dgm:presLayoutVars>
          <dgm:dir/>
          <dgm:animLvl val="lvl"/>
          <dgm:resizeHandles val="exact"/>
        </dgm:presLayoutVars>
      </dgm:prSet>
      <dgm:spPr/>
    </dgm:pt>
    <dgm:pt modelId="{2C2386B3-DB33-4C92-AEB0-E5A69774492A}" type="pres">
      <dgm:prSet presAssocID="{A2FC4B86-F28F-473E-9C6E-65FE34046AFD}" presName="compNode" presStyleCnt="0"/>
      <dgm:spPr/>
    </dgm:pt>
    <dgm:pt modelId="{D8630292-AECE-42DF-9E0F-047B7CFBF85C}" type="pres">
      <dgm:prSet presAssocID="{A2FC4B86-F28F-473E-9C6E-65FE34046AFD}" presName="noGeometry" presStyleCnt="0"/>
      <dgm:spPr/>
    </dgm:pt>
    <dgm:pt modelId="{A2DF1F60-2705-4E52-AC4E-E870B57AD839}" type="pres">
      <dgm:prSet presAssocID="{A2FC4B86-F28F-473E-9C6E-65FE34046AFD}" presName="childTextVisible" presStyleLbl="bgAccFollowNode1" presStyleIdx="0" presStyleCnt="5" custScaleX="179051">
        <dgm:presLayoutVars>
          <dgm:bulletEnabled val="1"/>
        </dgm:presLayoutVars>
      </dgm:prSet>
      <dgm:spPr/>
    </dgm:pt>
    <dgm:pt modelId="{C9C11912-36F1-4EAD-84A0-1FE7FAF82244}" type="pres">
      <dgm:prSet presAssocID="{A2FC4B86-F28F-473E-9C6E-65FE34046AFD}" presName="childTextHidden" presStyleLbl="bgAccFollowNode1" presStyleIdx="0" presStyleCnt="5"/>
      <dgm:spPr/>
    </dgm:pt>
    <dgm:pt modelId="{4AE43843-B812-41FA-93BB-F36A7CEF355A}" type="pres">
      <dgm:prSet presAssocID="{A2FC4B86-F28F-473E-9C6E-65FE34046AFD}" presName="parentText" presStyleLbl="node1" presStyleIdx="0" presStyleCnt="5" custLinFactNeighborX="-48675">
        <dgm:presLayoutVars>
          <dgm:chMax val="1"/>
          <dgm:bulletEnabled val="1"/>
        </dgm:presLayoutVars>
      </dgm:prSet>
      <dgm:spPr/>
    </dgm:pt>
    <dgm:pt modelId="{42D2A011-DD87-4D82-9B35-214CA387701B}" type="pres">
      <dgm:prSet presAssocID="{A2FC4B86-F28F-473E-9C6E-65FE34046AFD}" presName="aSpace" presStyleCnt="0"/>
      <dgm:spPr/>
    </dgm:pt>
    <dgm:pt modelId="{7B529F34-7948-41AB-A2A9-AA115A6D9ED7}" type="pres">
      <dgm:prSet presAssocID="{E2799506-D271-436C-92B1-2B62D254056E}" presName="compNode" presStyleCnt="0"/>
      <dgm:spPr/>
    </dgm:pt>
    <dgm:pt modelId="{48D5FB09-4103-46F2-996E-AA9EB366B5F5}" type="pres">
      <dgm:prSet presAssocID="{E2799506-D271-436C-92B1-2B62D254056E}" presName="noGeometry" presStyleCnt="0"/>
      <dgm:spPr/>
    </dgm:pt>
    <dgm:pt modelId="{039335D2-1395-4C07-A199-F076C1C9CC20}" type="pres">
      <dgm:prSet presAssocID="{E2799506-D271-436C-92B1-2B62D254056E}" presName="childTextVisible" presStyleLbl="bgAccFollowNode1" presStyleIdx="1" presStyleCnt="5" custScaleX="179051">
        <dgm:presLayoutVars>
          <dgm:bulletEnabled val="1"/>
        </dgm:presLayoutVars>
      </dgm:prSet>
      <dgm:spPr/>
    </dgm:pt>
    <dgm:pt modelId="{323CEB3F-DEFB-4C34-9839-66B58BFE138E}" type="pres">
      <dgm:prSet presAssocID="{E2799506-D271-436C-92B1-2B62D254056E}" presName="childTextHidden" presStyleLbl="bgAccFollowNode1" presStyleIdx="1" presStyleCnt="5"/>
      <dgm:spPr/>
    </dgm:pt>
    <dgm:pt modelId="{CEEB9C9B-20E8-4AD6-B5E5-9F32E6A10CE0}" type="pres">
      <dgm:prSet presAssocID="{E2799506-D271-436C-92B1-2B62D254056E}" presName="parentText" presStyleLbl="node1" presStyleIdx="1" presStyleCnt="5" custLinFactNeighborX="-53825">
        <dgm:presLayoutVars>
          <dgm:chMax val="1"/>
          <dgm:bulletEnabled val="1"/>
        </dgm:presLayoutVars>
      </dgm:prSet>
      <dgm:spPr/>
    </dgm:pt>
    <dgm:pt modelId="{34E092DE-0708-4404-BCF4-748CEE0A9F5E}" type="pres">
      <dgm:prSet presAssocID="{E2799506-D271-436C-92B1-2B62D254056E}" presName="aSpace" presStyleCnt="0"/>
      <dgm:spPr/>
    </dgm:pt>
    <dgm:pt modelId="{C5586505-81F3-45D0-93C7-1BDBDAF865A1}" type="pres">
      <dgm:prSet presAssocID="{A89FB361-63CD-4B50-A2A5-CB2F12A39385}" presName="compNode" presStyleCnt="0"/>
      <dgm:spPr/>
    </dgm:pt>
    <dgm:pt modelId="{977D5570-1C9D-4FD7-AD4C-ACA558BD4CA2}" type="pres">
      <dgm:prSet presAssocID="{A89FB361-63CD-4B50-A2A5-CB2F12A39385}" presName="noGeometry" presStyleCnt="0"/>
      <dgm:spPr/>
    </dgm:pt>
    <dgm:pt modelId="{ACEF71A0-E4A8-47D4-882A-39A59F887044}" type="pres">
      <dgm:prSet presAssocID="{A89FB361-63CD-4B50-A2A5-CB2F12A39385}" presName="childTextVisible" presStyleLbl="bgAccFollowNode1" presStyleIdx="2" presStyleCnt="5" custScaleX="179051">
        <dgm:presLayoutVars>
          <dgm:bulletEnabled val="1"/>
        </dgm:presLayoutVars>
      </dgm:prSet>
      <dgm:spPr/>
    </dgm:pt>
    <dgm:pt modelId="{1BF5C078-51EA-4CDD-8056-4EDC6D50F927}" type="pres">
      <dgm:prSet presAssocID="{A89FB361-63CD-4B50-A2A5-CB2F12A39385}" presName="childTextHidden" presStyleLbl="bgAccFollowNode1" presStyleIdx="2" presStyleCnt="5"/>
      <dgm:spPr/>
    </dgm:pt>
    <dgm:pt modelId="{39EE990B-6317-489C-9061-F67CCA8D3CA8}" type="pres">
      <dgm:prSet presAssocID="{A89FB361-63CD-4B50-A2A5-CB2F12A39385}" presName="parentText" presStyleLbl="node1" presStyleIdx="2" presStyleCnt="5" custLinFactNeighborX="-53825">
        <dgm:presLayoutVars>
          <dgm:chMax val="1"/>
          <dgm:bulletEnabled val="1"/>
        </dgm:presLayoutVars>
      </dgm:prSet>
      <dgm:spPr/>
    </dgm:pt>
    <dgm:pt modelId="{C1CF6DD1-A002-4822-8DE1-DDD0FE51873B}" type="pres">
      <dgm:prSet presAssocID="{A89FB361-63CD-4B50-A2A5-CB2F12A39385}" presName="aSpace" presStyleCnt="0"/>
      <dgm:spPr/>
    </dgm:pt>
    <dgm:pt modelId="{27B38579-48E2-45A1-960F-7A449226EBD9}" type="pres">
      <dgm:prSet presAssocID="{F8B26B54-454E-4471-8A10-B2805C4EE40D}" presName="compNode" presStyleCnt="0"/>
      <dgm:spPr/>
    </dgm:pt>
    <dgm:pt modelId="{2AF7F5B8-9BC5-45C5-A2E4-6071D9CE0C82}" type="pres">
      <dgm:prSet presAssocID="{F8B26B54-454E-4471-8A10-B2805C4EE40D}" presName="noGeometry" presStyleCnt="0"/>
      <dgm:spPr/>
    </dgm:pt>
    <dgm:pt modelId="{99B1993F-3D37-4046-8935-4E0C92BFE5BD}" type="pres">
      <dgm:prSet presAssocID="{F8B26B54-454E-4471-8A10-B2805C4EE40D}" presName="childTextVisible" presStyleLbl="bgAccFollowNode1" presStyleIdx="3" presStyleCnt="5" custScaleX="179051">
        <dgm:presLayoutVars>
          <dgm:bulletEnabled val="1"/>
        </dgm:presLayoutVars>
      </dgm:prSet>
      <dgm:spPr/>
    </dgm:pt>
    <dgm:pt modelId="{A056E746-3863-4645-B641-726C29A1A475}" type="pres">
      <dgm:prSet presAssocID="{F8B26B54-454E-4471-8A10-B2805C4EE40D}" presName="childTextHidden" presStyleLbl="bgAccFollowNode1" presStyleIdx="3" presStyleCnt="5"/>
      <dgm:spPr/>
    </dgm:pt>
    <dgm:pt modelId="{A086F9D8-8E9A-4341-A747-0363B369CFEE}" type="pres">
      <dgm:prSet presAssocID="{F8B26B54-454E-4471-8A10-B2805C4EE40D}" presName="parentText" presStyleLbl="node1" presStyleIdx="3" presStyleCnt="5" custLinFactNeighborX="-53825">
        <dgm:presLayoutVars>
          <dgm:chMax val="1"/>
          <dgm:bulletEnabled val="1"/>
        </dgm:presLayoutVars>
      </dgm:prSet>
      <dgm:spPr/>
    </dgm:pt>
    <dgm:pt modelId="{9AFBF0FC-8FB1-440C-A792-6CF4CE66911D}" type="pres">
      <dgm:prSet presAssocID="{F8B26B54-454E-4471-8A10-B2805C4EE40D}" presName="aSpace" presStyleCnt="0"/>
      <dgm:spPr/>
    </dgm:pt>
    <dgm:pt modelId="{D5FD5CFA-294D-4E2B-8C95-792B04FA8E14}" type="pres">
      <dgm:prSet presAssocID="{25126565-4BDA-430D-910F-78CEDC8E570D}" presName="compNode" presStyleCnt="0"/>
      <dgm:spPr/>
    </dgm:pt>
    <dgm:pt modelId="{A590D7EC-33E4-49CD-B237-8F9D1D10D11F}" type="pres">
      <dgm:prSet presAssocID="{25126565-4BDA-430D-910F-78CEDC8E570D}" presName="noGeometry" presStyleCnt="0"/>
      <dgm:spPr/>
    </dgm:pt>
    <dgm:pt modelId="{0C188B41-CFD2-42B7-938B-2BBCA6563718}" type="pres">
      <dgm:prSet presAssocID="{25126565-4BDA-430D-910F-78CEDC8E570D}" presName="childTextVisible" presStyleLbl="bgAccFollowNode1" presStyleIdx="4" presStyleCnt="5" custScaleX="179051">
        <dgm:presLayoutVars>
          <dgm:bulletEnabled val="1"/>
        </dgm:presLayoutVars>
      </dgm:prSet>
      <dgm:spPr/>
    </dgm:pt>
    <dgm:pt modelId="{938553F8-3BD0-4BDE-B4E0-094DCEA65150}" type="pres">
      <dgm:prSet presAssocID="{25126565-4BDA-430D-910F-78CEDC8E570D}" presName="childTextHidden" presStyleLbl="bgAccFollowNode1" presStyleIdx="4" presStyleCnt="5"/>
      <dgm:spPr/>
    </dgm:pt>
    <dgm:pt modelId="{0606E10C-82CF-4AE0-BBAE-7AB0775AF405}" type="pres">
      <dgm:prSet presAssocID="{25126565-4BDA-430D-910F-78CEDC8E570D}" presName="parentText" presStyleLbl="node1" presStyleIdx="4" presStyleCnt="5" custLinFactNeighborX="-53825">
        <dgm:presLayoutVars>
          <dgm:chMax val="1"/>
          <dgm:bulletEnabled val="1"/>
        </dgm:presLayoutVars>
      </dgm:prSet>
      <dgm:spPr/>
    </dgm:pt>
  </dgm:ptLst>
  <dgm:cxnLst>
    <dgm:cxn modelId="{763FF609-C2D2-4335-BF3E-ADD75E18FBEE}" type="presOf" srcId="{98AF853A-6625-4F91-B6F6-9E0EB30AB9AC}" destId="{1BF5C078-51EA-4CDD-8056-4EDC6D50F927}" srcOrd="1" destOrd="0" presId="urn:microsoft.com/office/officeart/2005/8/layout/hProcess6"/>
    <dgm:cxn modelId="{5A7B3B0B-9E9E-4CD3-961E-A61D522839F5}" srcId="{E62C3C9D-B358-47AC-BE42-F2B94C485F2F}" destId="{E2799506-D271-436C-92B1-2B62D254056E}" srcOrd="1" destOrd="0" parTransId="{AC86D2EC-530E-4D82-913F-C1EC9895C4E2}" sibTransId="{57E9C8C4-8A28-42AB-B8CF-2FDE8684B26A}"/>
    <dgm:cxn modelId="{8045FC1C-5EDF-4573-98D2-D3919E2F10DF}" type="presOf" srcId="{25126565-4BDA-430D-910F-78CEDC8E570D}" destId="{0606E10C-82CF-4AE0-BBAE-7AB0775AF405}" srcOrd="0" destOrd="0" presId="urn:microsoft.com/office/officeart/2005/8/layout/hProcess6"/>
    <dgm:cxn modelId="{8E5A6B27-F6F4-4935-AD4C-A9AA62A5521B}" type="presOf" srcId="{98AF853A-6625-4F91-B6F6-9E0EB30AB9AC}" destId="{ACEF71A0-E4A8-47D4-882A-39A59F887044}" srcOrd="0" destOrd="0" presId="urn:microsoft.com/office/officeart/2005/8/layout/hProcess6"/>
    <dgm:cxn modelId="{35C9E22B-AA63-4775-9B6D-527872299044}" srcId="{A2FC4B86-F28F-473E-9C6E-65FE34046AFD}" destId="{FD778329-2BB4-44E6-8A52-AD7CDB99D501}" srcOrd="1" destOrd="0" parTransId="{431DE971-86E5-4A36-83EA-8CF130BD1DD1}" sibTransId="{879FE910-A01A-4FCB-BF2C-9B878E667F75}"/>
    <dgm:cxn modelId="{ED7F9931-F029-413B-B8E6-0B4AC9EAC16D}" srcId="{A89FB361-63CD-4B50-A2A5-CB2F12A39385}" destId="{98AF853A-6625-4F91-B6F6-9E0EB30AB9AC}" srcOrd="0" destOrd="0" parTransId="{E1856551-D2CE-4F4F-A9DA-C1F003F654A0}" sibTransId="{3CA3B8CB-9F83-46FB-85C9-C5266AB65B7E}"/>
    <dgm:cxn modelId="{53D44C32-23B0-42A1-9513-C026CD303604}" type="presOf" srcId="{6980728D-3EC5-4C3F-95D1-0868D5D153B0}" destId="{0C188B41-CFD2-42B7-938B-2BBCA6563718}" srcOrd="0" destOrd="1" presId="urn:microsoft.com/office/officeart/2005/8/layout/hProcess6"/>
    <dgm:cxn modelId="{CB936E3D-FD58-4C66-B946-6EB23DE56429}" type="presOf" srcId="{8E997847-2C2F-42AC-8A53-C4CFCC880879}" destId="{0C188B41-CFD2-42B7-938B-2BBCA6563718}" srcOrd="0" destOrd="0" presId="urn:microsoft.com/office/officeart/2005/8/layout/hProcess6"/>
    <dgm:cxn modelId="{17C30760-1CED-4263-BE19-B16FCA131C41}" type="presOf" srcId="{09A10E9C-07F4-4D45-9FB6-0F75FFBB0CE5}" destId="{323CEB3F-DEFB-4C34-9839-66B58BFE138E}" srcOrd="1" destOrd="0" presId="urn:microsoft.com/office/officeart/2005/8/layout/hProcess6"/>
    <dgm:cxn modelId="{F2B6F142-F8D6-4907-BAB7-46F23722297C}" type="presOf" srcId="{050E4315-1A8B-47BC-AA32-5FF460B6D8DD}" destId="{C9C11912-36F1-4EAD-84A0-1FE7FAF82244}" srcOrd="1" destOrd="0" presId="urn:microsoft.com/office/officeart/2005/8/layout/hProcess6"/>
    <dgm:cxn modelId="{8B18FE43-A823-4E39-985F-C4D407BFD948}" type="presOf" srcId="{867307D2-B84A-46DF-B18A-B8FE846518EB}" destId="{A2DF1F60-2705-4E52-AC4E-E870B57AD839}" srcOrd="0" destOrd="2" presId="urn:microsoft.com/office/officeart/2005/8/layout/hProcess6"/>
    <dgm:cxn modelId="{2206B444-5D37-4ABF-B565-3E09BD0D7ED9}" srcId="{A2FC4B86-F28F-473E-9C6E-65FE34046AFD}" destId="{867307D2-B84A-46DF-B18A-B8FE846518EB}" srcOrd="2" destOrd="0" parTransId="{64A91FB2-5F52-4063-9F3A-5AB9424B1D2E}" sibTransId="{978F7807-FDC9-46A7-AA49-058D689F3D79}"/>
    <dgm:cxn modelId="{2D721B67-E12B-46B5-A4BC-E84AA34B64CD}" type="presOf" srcId="{A89FB361-63CD-4B50-A2A5-CB2F12A39385}" destId="{39EE990B-6317-489C-9061-F67CCA8D3CA8}" srcOrd="0" destOrd="0" presId="urn:microsoft.com/office/officeart/2005/8/layout/hProcess6"/>
    <dgm:cxn modelId="{29C37D67-CB8A-4FA9-B92C-697AB71FC007}" type="presOf" srcId="{6980728D-3EC5-4C3F-95D1-0868D5D153B0}" destId="{938553F8-3BD0-4BDE-B4E0-094DCEA65150}" srcOrd="1" destOrd="1" presId="urn:microsoft.com/office/officeart/2005/8/layout/hProcess6"/>
    <dgm:cxn modelId="{77D3B24E-E594-46DE-A90B-F82D8CF06EFB}" type="presOf" srcId="{E2799506-D271-436C-92B1-2B62D254056E}" destId="{CEEB9C9B-20E8-4AD6-B5E5-9F32E6A10CE0}" srcOrd="0" destOrd="0" presId="urn:microsoft.com/office/officeart/2005/8/layout/hProcess6"/>
    <dgm:cxn modelId="{B8594877-1402-41E7-B96B-961364A5A8BD}" type="presOf" srcId="{867307D2-B84A-46DF-B18A-B8FE846518EB}" destId="{C9C11912-36F1-4EAD-84A0-1FE7FAF82244}" srcOrd="1" destOrd="2" presId="urn:microsoft.com/office/officeart/2005/8/layout/hProcess6"/>
    <dgm:cxn modelId="{622BC457-5615-45ED-96D7-992B76B8ED10}" srcId="{E62C3C9D-B358-47AC-BE42-F2B94C485F2F}" destId="{A2FC4B86-F28F-473E-9C6E-65FE34046AFD}" srcOrd="0" destOrd="0" parTransId="{E3AFD187-F282-4D95-97CF-68CCADDD0596}" sibTransId="{4190737A-B539-49BE-8154-B1E0FFE37EA0}"/>
    <dgm:cxn modelId="{E03F1A7D-CF30-468C-A2BF-F4CF9097FD9E}" srcId="{F8B26B54-454E-4471-8A10-B2805C4EE40D}" destId="{2985F371-8BC4-40E7-9306-18ED2561858A}" srcOrd="0" destOrd="0" parTransId="{529BFA4E-0D1D-42A3-8EF3-7F5D81676497}" sibTransId="{04D39F83-A896-4DCD-BBE5-4305E345772E}"/>
    <dgm:cxn modelId="{C3181881-065B-4E1D-811D-A3228C4CFA41}" type="presOf" srcId="{050E4315-1A8B-47BC-AA32-5FF460B6D8DD}" destId="{A2DF1F60-2705-4E52-AC4E-E870B57AD839}" srcOrd="0" destOrd="0" presId="urn:microsoft.com/office/officeart/2005/8/layout/hProcess6"/>
    <dgm:cxn modelId="{17129B94-A3D9-43DD-9959-E4F924E6FC75}" type="presOf" srcId="{F8B26B54-454E-4471-8A10-B2805C4EE40D}" destId="{A086F9D8-8E9A-4341-A747-0363B369CFEE}" srcOrd="0" destOrd="0" presId="urn:microsoft.com/office/officeart/2005/8/layout/hProcess6"/>
    <dgm:cxn modelId="{3D61F096-1025-427B-BF03-FEFC8DFC66E1}" srcId="{25126565-4BDA-430D-910F-78CEDC8E570D}" destId="{9501F9DD-FCFD-40CF-A81B-7EC4AD5487A0}" srcOrd="2" destOrd="0" parTransId="{898A747D-BF54-47AE-BCE0-AE8E74F15D6B}" sibTransId="{3E28AFAF-B65C-4651-BD90-2367E6C24DC0}"/>
    <dgm:cxn modelId="{128ED29E-7261-47AB-97E5-4115A97976D9}" type="presOf" srcId="{FD778329-2BB4-44E6-8A52-AD7CDB99D501}" destId="{A2DF1F60-2705-4E52-AC4E-E870B57AD839}" srcOrd="0" destOrd="1" presId="urn:microsoft.com/office/officeart/2005/8/layout/hProcess6"/>
    <dgm:cxn modelId="{4EFDDCA3-DED3-425A-9104-F8391F881C2D}" type="presOf" srcId="{9501F9DD-FCFD-40CF-A81B-7EC4AD5487A0}" destId="{0C188B41-CFD2-42B7-938B-2BBCA6563718}" srcOrd="0" destOrd="2" presId="urn:microsoft.com/office/officeart/2005/8/layout/hProcess6"/>
    <dgm:cxn modelId="{E29D77B0-29B9-4CBE-9BD6-0C510D265E0F}" type="presOf" srcId="{9501F9DD-FCFD-40CF-A81B-7EC4AD5487A0}" destId="{938553F8-3BD0-4BDE-B4E0-094DCEA65150}" srcOrd="1" destOrd="2" presId="urn:microsoft.com/office/officeart/2005/8/layout/hProcess6"/>
    <dgm:cxn modelId="{4BA848B5-22DA-4944-986C-6523BD7F235D}" type="presOf" srcId="{E62C3C9D-B358-47AC-BE42-F2B94C485F2F}" destId="{3BB18A80-F111-402D-88BD-BF2032DCE7DB}" srcOrd="0" destOrd="0" presId="urn:microsoft.com/office/officeart/2005/8/layout/hProcess6"/>
    <dgm:cxn modelId="{4BE9BBB7-61FC-46A7-AB8E-BFE067BC48DF}" type="presOf" srcId="{8E997847-2C2F-42AC-8A53-C4CFCC880879}" destId="{938553F8-3BD0-4BDE-B4E0-094DCEA65150}" srcOrd="1" destOrd="0" presId="urn:microsoft.com/office/officeart/2005/8/layout/hProcess6"/>
    <dgm:cxn modelId="{0175B5BA-237F-4741-BBD1-FA3B5DEE695B}" srcId="{E62C3C9D-B358-47AC-BE42-F2B94C485F2F}" destId="{F8B26B54-454E-4471-8A10-B2805C4EE40D}" srcOrd="3" destOrd="0" parTransId="{64413B58-7879-45EF-B3E7-FFC72BFFF455}" sibTransId="{F71D3020-F88D-4F72-92F1-4C85CEE18CD1}"/>
    <dgm:cxn modelId="{A2BB14BF-48B7-4E09-BD1A-B7DD0D593A15}" type="presOf" srcId="{09A10E9C-07F4-4D45-9FB6-0F75FFBB0CE5}" destId="{039335D2-1395-4C07-A199-F076C1C9CC20}" srcOrd="0" destOrd="0" presId="urn:microsoft.com/office/officeart/2005/8/layout/hProcess6"/>
    <dgm:cxn modelId="{B8D224C6-E710-484E-926A-382DA22B89B2}" srcId="{E62C3C9D-B358-47AC-BE42-F2B94C485F2F}" destId="{A89FB361-63CD-4B50-A2A5-CB2F12A39385}" srcOrd="2" destOrd="0" parTransId="{8480D9D4-F499-43CB-9328-976F8BA3F5A8}" sibTransId="{A932BD94-132C-41D0-B5B0-73193CE87100}"/>
    <dgm:cxn modelId="{19642DCF-F9D7-48D8-A8BE-5B92844F8205}" type="presOf" srcId="{A2FC4B86-F28F-473E-9C6E-65FE34046AFD}" destId="{4AE43843-B812-41FA-93BB-F36A7CEF355A}" srcOrd="0" destOrd="0" presId="urn:microsoft.com/office/officeart/2005/8/layout/hProcess6"/>
    <dgm:cxn modelId="{54DE09E1-EEDB-4B10-9DFB-AF16500AB81C}" type="presOf" srcId="{FD778329-2BB4-44E6-8A52-AD7CDB99D501}" destId="{C9C11912-36F1-4EAD-84A0-1FE7FAF82244}" srcOrd="1" destOrd="1" presId="urn:microsoft.com/office/officeart/2005/8/layout/hProcess6"/>
    <dgm:cxn modelId="{2A38A6E1-B395-4856-8DA6-3BB3135EF7CD}" srcId="{25126565-4BDA-430D-910F-78CEDC8E570D}" destId="{8E997847-2C2F-42AC-8A53-C4CFCC880879}" srcOrd="0" destOrd="0" parTransId="{2573BE71-EA45-43F2-8956-BFA1BA6B7F21}" sibTransId="{A82A43A0-F255-4012-AEF6-7EA5DA9F79D7}"/>
    <dgm:cxn modelId="{696407E9-AD61-4E8C-96D7-EF94C38589B6}" type="presOf" srcId="{2985F371-8BC4-40E7-9306-18ED2561858A}" destId="{A056E746-3863-4645-B641-726C29A1A475}" srcOrd="1" destOrd="0" presId="urn:microsoft.com/office/officeart/2005/8/layout/hProcess6"/>
    <dgm:cxn modelId="{75CF23EE-AAB5-4017-A02E-02291F656B7F}" srcId="{A2FC4B86-F28F-473E-9C6E-65FE34046AFD}" destId="{050E4315-1A8B-47BC-AA32-5FF460B6D8DD}" srcOrd="0" destOrd="0" parTransId="{88A01793-E698-4948-9179-62847738B35F}" sibTransId="{726CF8A6-7390-490D-88E3-87091DDB493D}"/>
    <dgm:cxn modelId="{914BD5F0-0C01-4BCD-8AF3-B98970F8BC40}" srcId="{E2799506-D271-436C-92B1-2B62D254056E}" destId="{09A10E9C-07F4-4D45-9FB6-0F75FFBB0CE5}" srcOrd="0" destOrd="0" parTransId="{6A610F58-34ED-4BF9-B08F-3EDC07C4B246}" sibTransId="{422A6ED9-A949-4175-ABB5-2DFAAE454F9D}"/>
    <dgm:cxn modelId="{8ED366F2-150B-4F2B-BBFC-72C5491DDB1F}" type="presOf" srcId="{2985F371-8BC4-40E7-9306-18ED2561858A}" destId="{99B1993F-3D37-4046-8935-4E0C92BFE5BD}" srcOrd="0" destOrd="0" presId="urn:microsoft.com/office/officeart/2005/8/layout/hProcess6"/>
    <dgm:cxn modelId="{CF267DF7-68AA-49E3-9F4F-F987B39F6565}" srcId="{E62C3C9D-B358-47AC-BE42-F2B94C485F2F}" destId="{25126565-4BDA-430D-910F-78CEDC8E570D}" srcOrd="4" destOrd="0" parTransId="{DAA66D69-B335-45B5-BCAC-F0357CA86B2E}" sibTransId="{D11A40CC-536D-477A-9F64-697492AE4EA9}"/>
    <dgm:cxn modelId="{E01D5CFE-426F-47DF-96AB-8BD611852DAF}" srcId="{25126565-4BDA-430D-910F-78CEDC8E570D}" destId="{6980728D-3EC5-4C3F-95D1-0868D5D153B0}" srcOrd="1" destOrd="0" parTransId="{5AD1CBFF-BD67-4009-82AD-53D5810594B5}" sibTransId="{2B8DCA0E-7211-4E50-AB89-F35DA8A0D8AF}"/>
    <dgm:cxn modelId="{3DC859C3-AACE-4C3F-AA59-723DC1B8D176}" type="presParOf" srcId="{3BB18A80-F111-402D-88BD-BF2032DCE7DB}" destId="{2C2386B3-DB33-4C92-AEB0-E5A69774492A}" srcOrd="0" destOrd="0" presId="urn:microsoft.com/office/officeart/2005/8/layout/hProcess6"/>
    <dgm:cxn modelId="{A3ACF562-7CCB-406B-8D9D-0B0F1FEFBD88}" type="presParOf" srcId="{2C2386B3-DB33-4C92-AEB0-E5A69774492A}" destId="{D8630292-AECE-42DF-9E0F-047B7CFBF85C}" srcOrd="0" destOrd="0" presId="urn:microsoft.com/office/officeart/2005/8/layout/hProcess6"/>
    <dgm:cxn modelId="{085FDD18-3FD6-40A8-BBBE-1133BA5F86EB}" type="presParOf" srcId="{2C2386B3-DB33-4C92-AEB0-E5A69774492A}" destId="{A2DF1F60-2705-4E52-AC4E-E870B57AD839}" srcOrd="1" destOrd="0" presId="urn:microsoft.com/office/officeart/2005/8/layout/hProcess6"/>
    <dgm:cxn modelId="{BEA18F71-E609-409C-8891-9311FEB2D5FC}" type="presParOf" srcId="{2C2386B3-DB33-4C92-AEB0-E5A69774492A}" destId="{C9C11912-36F1-4EAD-84A0-1FE7FAF82244}" srcOrd="2" destOrd="0" presId="urn:microsoft.com/office/officeart/2005/8/layout/hProcess6"/>
    <dgm:cxn modelId="{35696E90-076D-4310-8DC3-5459968AD1D6}" type="presParOf" srcId="{2C2386B3-DB33-4C92-AEB0-E5A69774492A}" destId="{4AE43843-B812-41FA-93BB-F36A7CEF355A}" srcOrd="3" destOrd="0" presId="urn:microsoft.com/office/officeart/2005/8/layout/hProcess6"/>
    <dgm:cxn modelId="{A4590743-6277-4B2B-9F7D-7EDE97F47400}" type="presParOf" srcId="{3BB18A80-F111-402D-88BD-BF2032DCE7DB}" destId="{42D2A011-DD87-4D82-9B35-214CA387701B}" srcOrd="1" destOrd="0" presId="urn:microsoft.com/office/officeart/2005/8/layout/hProcess6"/>
    <dgm:cxn modelId="{9131D41D-3756-4DCA-9303-471F5A3BB28C}" type="presParOf" srcId="{3BB18A80-F111-402D-88BD-BF2032DCE7DB}" destId="{7B529F34-7948-41AB-A2A9-AA115A6D9ED7}" srcOrd="2" destOrd="0" presId="urn:microsoft.com/office/officeart/2005/8/layout/hProcess6"/>
    <dgm:cxn modelId="{9CA3A895-B989-486B-AF83-62DE117058D0}" type="presParOf" srcId="{7B529F34-7948-41AB-A2A9-AA115A6D9ED7}" destId="{48D5FB09-4103-46F2-996E-AA9EB366B5F5}" srcOrd="0" destOrd="0" presId="urn:microsoft.com/office/officeart/2005/8/layout/hProcess6"/>
    <dgm:cxn modelId="{201903DC-A809-40AA-8CC9-ECEB79E58989}" type="presParOf" srcId="{7B529F34-7948-41AB-A2A9-AA115A6D9ED7}" destId="{039335D2-1395-4C07-A199-F076C1C9CC20}" srcOrd="1" destOrd="0" presId="urn:microsoft.com/office/officeart/2005/8/layout/hProcess6"/>
    <dgm:cxn modelId="{3F59C1A6-34F5-4933-8482-BDD4A945B624}" type="presParOf" srcId="{7B529F34-7948-41AB-A2A9-AA115A6D9ED7}" destId="{323CEB3F-DEFB-4C34-9839-66B58BFE138E}" srcOrd="2" destOrd="0" presId="urn:microsoft.com/office/officeart/2005/8/layout/hProcess6"/>
    <dgm:cxn modelId="{74F44A96-7DD2-426A-95EA-3FD067C72943}" type="presParOf" srcId="{7B529F34-7948-41AB-A2A9-AA115A6D9ED7}" destId="{CEEB9C9B-20E8-4AD6-B5E5-9F32E6A10CE0}" srcOrd="3" destOrd="0" presId="urn:microsoft.com/office/officeart/2005/8/layout/hProcess6"/>
    <dgm:cxn modelId="{1B03F0B6-A2B4-42CB-9DB8-4B61FA3BC3B8}" type="presParOf" srcId="{3BB18A80-F111-402D-88BD-BF2032DCE7DB}" destId="{34E092DE-0708-4404-BCF4-748CEE0A9F5E}" srcOrd="3" destOrd="0" presId="urn:microsoft.com/office/officeart/2005/8/layout/hProcess6"/>
    <dgm:cxn modelId="{314D1AAE-A797-4452-8699-05FA50D74683}" type="presParOf" srcId="{3BB18A80-F111-402D-88BD-BF2032DCE7DB}" destId="{C5586505-81F3-45D0-93C7-1BDBDAF865A1}" srcOrd="4" destOrd="0" presId="urn:microsoft.com/office/officeart/2005/8/layout/hProcess6"/>
    <dgm:cxn modelId="{B1F0D7AA-0469-40C6-B49E-A85B9E1EAECE}" type="presParOf" srcId="{C5586505-81F3-45D0-93C7-1BDBDAF865A1}" destId="{977D5570-1C9D-4FD7-AD4C-ACA558BD4CA2}" srcOrd="0" destOrd="0" presId="urn:microsoft.com/office/officeart/2005/8/layout/hProcess6"/>
    <dgm:cxn modelId="{BD6A3DC3-F63D-4593-8AC6-C180C68AD732}" type="presParOf" srcId="{C5586505-81F3-45D0-93C7-1BDBDAF865A1}" destId="{ACEF71A0-E4A8-47D4-882A-39A59F887044}" srcOrd="1" destOrd="0" presId="urn:microsoft.com/office/officeart/2005/8/layout/hProcess6"/>
    <dgm:cxn modelId="{A8798BBA-5E25-4619-962A-66A87361E32E}" type="presParOf" srcId="{C5586505-81F3-45D0-93C7-1BDBDAF865A1}" destId="{1BF5C078-51EA-4CDD-8056-4EDC6D50F927}" srcOrd="2" destOrd="0" presId="urn:microsoft.com/office/officeart/2005/8/layout/hProcess6"/>
    <dgm:cxn modelId="{A7084A3C-363A-472B-8D3C-630A2D7FED04}" type="presParOf" srcId="{C5586505-81F3-45D0-93C7-1BDBDAF865A1}" destId="{39EE990B-6317-489C-9061-F67CCA8D3CA8}" srcOrd="3" destOrd="0" presId="urn:microsoft.com/office/officeart/2005/8/layout/hProcess6"/>
    <dgm:cxn modelId="{B890AC6B-22CC-41E7-8BF9-B00EE28040AF}" type="presParOf" srcId="{3BB18A80-F111-402D-88BD-BF2032DCE7DB}" destId="{C1CF6DD1-A002-4822-8DE1-DDD0FE51873B}" srcOrd="5" destOrd="0" presId="urn:microsoft.com/office/officeart/2005/8/layout/hProcess6"/>
    <dgm:cxn modelId="{20D2C51D-C650-4718-A2CB-3699A733DD04}" type="presParOf" srcId="{3BB18A80-F111-402D-88BD-BF2032DCE7DB}" destId="{27B38579-48E2-45A1-960F-7A449226EBD9}" srcOrd="6" destOrd="0" presId="urn:microsoft.com/office/officeart/2005/8/layout/hProcess6"/>
    <dgm:cxn modelId="{817CA053-5868-4C80-AD6C-7DD7F3A13945}" type="presParOf" srcId="{27B38579-48E2-45A1-960F-7A449226EBD9}" destId="{2AF7F5B8-9BC5-45C5-A2E4-6071D9CE0C82}" srcOrd="0" destOrd="0" presId="urn:microsoft.com/office/officeart/2005/8/layout/hProcess6"/>
    <dgm:cxn modelId="{92957237-8291-4F23-A6F7-B4FD5636D8C1}" type="presParOf" srcId="{27B38579-48E2-45A1-960F-7A449226EBD9}" destId="{99B1993F-3D37-4046-8935-4E0C92BFE5BD}" srcOrd="1" destOrd="0" presId="urn:microsoft.com/office/officeart/2005/8/layout/hProcess6"/>
    <dgm:cxn modelId="{5A9849E3-EB73-4A4E-B458-BF7716CB853E}" type="presParOf" srcId="{27B38579-48E2-45A1-960F-7A449226EBD9}" destId="{A056E746-3863-4645-B641-726C29A1A475}" srcOrd="2" destOrd="0" presId="urn:microsoft.com/office/officeart/2005/8/layout/hProcess6"/>
    <dgm:cxn modelId="{68D41E0A-377F-40EE-940A-C8BC86EFA2E8}" type="presParOf" srcId="{27B38579-48E2-45A1-960F-7A449226EBD9}" destId="{A086F9D8-8E9A-4341-A747-0363B369CFEE}" srcOrd="3" destOrd="0" presId="urn:microsoft.com/office/officeart/2005/8/layout/hProcess6"/>
    <dgm:cxn modelId="{80776DDA-5111-433A-9836-11B04387B317}" type="presParOf" srcId="{3BB18A80-F111-402D-88BD-BF2032DCE7DB}" destId="{9AFBF0FC-8FB1-440C-A792-6CF4CE66911D}" srcOrd="7" destOrd="0" presId="urn:microsoft.com/office/officeart/2005/8/layout/hProcess6"/>
    <dgm:cxn modelId="{6F979F3E-60C0-41F5-993A-A8984A52AD01}" type="presParOf" srcId="{3BB18A80-F111-402D-88BD-BF2032DCE7DB}" destId="{D5FD5CFA-294D-4E2B-8C95-792B04FA8E14}" srcOrd="8" destOrd="0" presId="urn:microsoft.com/office/officeart/2005/8/layout/hProcess6"/>
    <dgm:cxn modelId="{44C1053C-214F-459B-A653-36F14B137EA8}" type="presParOf" srcId="{D5FD5CFA-294D-4E2B-8C95-792B04FA8E14}" destId="{A590D7EC-33E4-49CD-B237-8F9D1D10D11F}" srcOrd="0" destOrd="0" presId="urn:microsoft.com/office/officeart/2005/8/layout/hProcess6"/>
    <dgm:cxn modelId="{67758070-CBBE-48E0-B010-DDC6EF3D168A}" type="presParOf" srcId="{D5FD5CFA-294D-4E2B-8C95-792B04FA8E14}" destId="{0C188B41-CFD2-42B7-938B-2BBCA6563718}" srcOrd="1" destOrd="0" presId="urn:microsoft.com/office/officeart/2005/8/layout/hProcess6"/>
    <dgm:cxn modelId="{FB373C43-D8B7-473D-9F91-700E54C4B7E3}" type="presParOf" srcId="{D5FD5CFA-294D-4E2B-8C95-792B04FA8E14}" destId="{938553F8-3BD0-4BDE-B4E0-094DCEA65150}" srcOrd="2" destOrd="0" presId="urn:microsoft.com/office/officeart/2005/8/layout/hProcess6"/>
    <dgm:cxn modelId="{F57F5C62-5B11-410C-BAA3-8D6F26D15E7A}" type="presParOf" srcId="{D5FD5CFA-294D-4E2B-8C95-792B04FA8E14}" destId="{0606E10C-82CF-4AE0-BBAE-7AB0775AF405}" srcOrd="3" destOrd="0" presId="urn:microsoft.com/office/officeart/2005/8/layout/hProcess6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E62C3C9D-B358-47AC-BE42-F2B94C485F2F}" type="doc">
      <dgm:prSet loTypeId="urn:microsoft.com/office/officeart/2005/8/layout/hProcess6" loCatId="process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A2FC4B86-F28F-473E-9C6E-65FE34046AFD}">
      <dgm:prSet phldrT="[Text]"/>
      <dgm:spPr/>
      <dgm:t>
        <a:bodyPr/>
        <a:lstStyle/>
        <a:p>
          <a:r>
            <a:rPr lang="en-US"/>
            <a:t>PMF</a:t>
          </a:r>
        </a:p>
      </dgm:t>
    </dgm:pt>
    <dgm:pt modelId="{E3AFD187-F282-4D95-97CF-68CCADDD0596}" type="parTrans" cxnId="{622BC457-5615-45ED-96D7-992B76B8ED10}">
      <dgm:prSet/>
      <dgm:spPr/>
      <dgm:t>
        <a:bodyPr/>
        <a:lstStyle/>
        <a:p>
          <a:endParaRPr lang="en-US"/>
        </a:p>
      </dgm:t>
    </dgm:pt>
    <dgm:pt modelId="{4190737A-B539-49BE-8154-B1E0FFE37EA0}" type="sibTrans" cxnId="{622BC457-5615-45ED-96D7-992B76B8ED10}">
      <dgm:prSet/>
      <dgm:spPr/>
      <dgm:t>
        <a:bodyPr/>
        <a:lstStyle/>
        <a:p>
          <a:endParaRPr lang="en-US"/>
        </a:p>
      </dgm:t>
    </dgm:pt>
    <dgm:pt modelId="{050E4315-1A8B-47BC-AA32-5FF460B6D8DD}">
      <dgm:prSet phldrT="[Text]"/>
      <dgm:spPr/>
      <dgm:t>
        <a:bodyPr/>
        <a:lstStyle/>
        <a:p>
          <a:r>
            <a:rPr lang="en-US"/>
            <a:t>Copy the BOM from Products Database</a:t>
          </a:r>
        </a:p>
      </dgm:t>
    </dgm:pt>
    <dgm:pt modelId="{88A01793-E698-4948-9179-62847738B35F}" type="parTrans" cxnId="{75CF23EE-AAB5-4017-A02E-02291F656B7F}">
      <dgm:prSet/>
      <dgm:spPr/>
      <dgm:t>
        <a:bodyPr/>
        <a:lstStyle/>
        <a:p>
          <a:endParaRPr lang="en-US"/>
        </a:p>
      </dgm:t>
    </dgm:pt>
    <dgm:pt modelId="{726CF8A6-7390-490D-88E3-87091DDB493D}" type="sibTrans" cxnId="{75CF23EE-AAB5-4017-A02E-02291F656B7F}">
      <dgm:prSet/>
      <dgm:spPr/>
      <dgm:t>
        <a:bodyPr/>
        <a:lstStyle/>
        <a:p>
          <a:endParaRPr lang="en-US"/>
        </a:p>
      </dgm:t>
    </dgm:pt>
    <dgm:pt modelId="{E2799506-D271-436C-92B1-2B62D254056E}">
      <dgm:prSet phldrT="[Text]"/>
      <dgm:spPr/>
      <dgm:t>
        <a:bodyPr/>
        <a:lstStyle/>
        <a:p>
          <a:r>
            <a:rPr lang="en-US"/>
            <a:t>R&amp;D </a:t>
          </a:r>
        </a:p>
        <a:p>
          <a:r>
            <a:rPr lang="en-US"/>
            <a:t>Method PE</a:t>
          </a:r>
        </a:p>
      </dgm:t>
    </dgm:pt>
    <dgm:pt modelId="{AC86D2EC-530E-4D82-913F-C1EC9895C4E2}" type="parTrans" cxnId="{5A7B3B0B-9E9E-4CD3-961E-A61D522839F5}">
      <dgm:prSet/>
      <dgm:spPr/>
      <dgm:t>
        <a:bodyPr/>
        <a:lstStyle/>
        <a:p>
          <a:endParaRPr lang="en-US"/>
        </a:p>
      </dgm:t>
    </dgm:pt>
    <dgm:pt modelId="{57E9C8C4-8A28-42AB-B8CF-2FDE8684B26A}" type="sibTrans" cxnId="{5A7B3B0B-9E9E-4CD3-961E-A61D522839F5}">
      <dgm:prSet/>
      <dgm:spPr/>
      <dgm:t>
        <a:bodyPr/>
        <a:lstStyle/>
        <a:p>
          <a:endParaRPr lang="en-US"/>
        </a:p>
      </dgm:t>
    </dgm:pt>
    <dgm:pt modelId="{09A10E9C-07F4-4D45-9FB6-0F75FFBB0CE5}">
      <dgm:prSet phldrT="[Text]"/>
      <dgm:spPr/>
      <dgm:t>
        <a:bodyPr/>
        <a:lstStyle/>
        <a:p>
          <a:r>
            <a:rPr lang="en-US"/>
            <a:t>Does the change on Pxxxx</a:t>
          </a:r>
        </a:p>
      </dgm:t>
    </dgm:pt>
    <dgm:pt modelId="{6A610F58-34ED-4BF9-B08F-3EDC07C4B246}" type="parTrans" cxnId="{914BD5F0-0C01-4BCD-8AF3-B98970F8BC40}">
      <dgm:prSet/>
      <dgm:spPr/>
      <dgm:t>
        <a:bodyPr/>
        <a:lstStyle/>
        <a:p>
          <a:endParaRPr lang="en-US"/>
        </a:p>
      </dgm:t>
    </dgm:pt>
    <dgm:pt modelId="{422A6ED9-A949-4175-ABB5-2DFAAE454F9D}" type="sibTrans" cxnId="{914BD5F0-0C01-4BCD-8AF3-B98970F8BC40}">
      <dgm:prSet/>
      <dgm:spPr/>
      <dgm:t>
        <a:bodyPr/>
        <a:lstStyle/>
        <a:p>
          <a:endParaRPr lang="en-US"/>
        </a:p>
      </dgm:t>
    </dgm:pt>
    <dgm:pt modelId="{A89FB361-63CD-4B50-A2A5-CB2F12A39385}">
      <dgm:prSet phldrT="[Text]"/>
      <dgm:spPr/>
      <dgm:t>
        <a:bodyPr/>
        <a:lstStyle/>
        <a:p>
          <a:r>
            <a:rPr lang="en-US"/>
            <a:t>PMF PMC</a:t>
          </a:r>
        </a:p>
      </dgm:t>
    </dgm:pt>
    <dgm:pt modelId="{8480D9D4-F499-43CB-9328-976F8BA3F5A8}" type="parTrans" cxnId="{B8D224C6-E710-484E-926A-382DA22B89B2}">
      <dgm:prSet/>
      <dgm:spPr/>
      <dgm:t>
        <a:bodyPr/>
        <a:lstStyle/>
        <a:p>
          <a:endParaRPr lang="en-US"/>
        </a:p>
      </dgm:t>
    </dgm:pt>
    <dgm:pt modelId="{A932BD94-132C-41D0-B5B0-73193CE87100}" type="sibTrans" cxnId="{B8D224C6-E710-484E-926A-382DA22B89B2}">
      <dgm:prSet/>
      <dgm:spPr/>
      <dgm:t>
        <a:bodyPr/>
        <a:lstStyle/>
        <a:p>
          <a:endParaRPr lang="en-US"/>
        </a:p>
      </dgm:t>
    </dgm:pt>
    <dgm:pt modelId="{98AF853A-6625-4F91-B6F6-9E0EB30AB9AC}">
      <dgm:prSet phldrT="[Text]"/>
      <dgm:spPr/>
      <dgm:t>
        <a:bodyPr/>
        <a:lstStyle/>
        <a:p>
          <a:r>
            <a:rPr lang="en-US"/>
            <a:t>Validates BOM content</a:t>
          </a:r>
        </a:p>
      </dgm:t>
    </dgm:pt>
    <dgm:pt modelId="{E1856551-D2CE-4F4F-A9DA-C1F003F654A0}" type="parTrans" cxnId="{ED7F9931-F029-413B-B8E6-0B4AC9EAC16D}">
      <dgm:prSet/>
      <dgm:spPr/>
      <dgm:t>
        <a:bodyPr/>
        <a:lstStyle/>
        <a:p>
          <a:endParaRPr lang="en-US"/>
        </a:p>
      </dgm:t>
    </dgm:pt>
    <dgm:pt modelId="{3CA3B8CB-9F83-46FB-85C9-C5266AB65B7E}" type="sibTrans" cxnId="{ED7F9931-F029-413B-B8E6-0B4AC9EAC16D}">
      <dgm:prSet/>
      <dgm:spPr/>
      <dgm:t>
        <a:bodyPr/>
        <a:lstStyle/>
        <a:p>
          <a:endParaRPr lang="en-US"/>
        </a:p>
      </dgm:t>
    </dgm:pt>
    <dgm:pt modelId="{FD778329-2BB4-44E6-8A52-AD7CDB99D501}">
      <dgm:prSet/>
      <dgm:spPr/>
      <dgm:t>
        <a:bodyPr/>
        <a:lstStyle/>
        <a:p>
          <a:r>
            <a:rPr lang="en-US"/>
            <a:t>Place it on Pxxxx</a:t>
          </a:r>
        </a:p>
      </dgm:t>
    </dgm:pt>
    <dgm:pt modelId="{431DE971-86E5-4A36-83EA-8CF130BD1DD1}" type="parTrans" cxnId="{35C9E22B-AA63-4775-9B6D-527872299044}">
      <dgm:prSet/>
      <dgm:spPr/>
      <dgm:t>
        <a:bodyPr/>
        <a:lstStyle/>
        <a:p>
          <a:endParaRPr lang="en-US"/>
        </a:p>
      </dgm:t>
    </dgm:pt>
    <dgm:pt modelId="{879FE910-A01A-4FCB-BF2C-9B878E667F75}" type="sibTrans" cxnId="{35C9E22B-AA63-4775-9B6D-527872299044}">
      <dgm:prSet/>
      <dgm:spPr/>
      <dgm:t>
        <a:bodyPr/>
        <a:lstStyle/>
        <a:p>
          <a:endParaRPr lang="en-US"/>
        </a:p>
      </dgm:t>
    </dgm:pt>
    <dgm:pt modelId="{F1220614-8375-4DC2-925D-C4A07370B34C}">
      <dgm:prSet phldrT="[Text]"/>
      <dgm:spPr/>
      <dgm:t>
        <a:bodyPr/>
        <a:lstStyle/>
        <a:p>
          <a:r>
            <a:rPr lang="en-US"/>
            <a:t>Method PE</a:t>
          </a:r>
        </a:p>
      </dgm:t>
    </dgm:pt>
    <dgm:pt modelId="{597C466A-138E-4696-B467-5CCF506DFA64}" type="parTrans" cxnId="{56C6DD13-4346-491E-849E-DE3B09CD7482}">
      <dgm:prSet/>
      <dgm:spPr/>
      <dgm:t>
        <a:bodyPr/>
        <a:lstStyle/>
        <a:p>
          <a:endParaRPr lang="en-US"/>
        </a:p>
      </dgm:t>
    </dgm:pt>
    <dgm:pt modelId="{D7B24723-D044-4DC9-8D77-3526E07D4718}" type="sibTrans" cxnId="{56C6DD13-4346-491E-849E-DE3B09CD7482}">
      <dgm:prSet/>
      <dgm:spPr/>
      <dgm:t>
        <a:bodyPr/>
        <a:lstStyle/>
        <a:p>
          <a:endParaRPr lang="en-US"/>
        </a:p>
      </dgm:t>
    </dgm:pt>
    <dgm:pt modelId="{11B599CF-C5B7-4746-9F74-063D7425DB98}">
      <dgm:prSet phldrT="[Text]"/>
      <dgm:spPr/>
      <dgm:t>
        <a:bodyPr/>
        <a:lstStyle/>
        <a:p>
          <a:r>
            <a:rPr lang="en-US"/>
            <a:t>Takes the BOM from Pxxxx</a:t>
          </a:r>
        </a:p>
      </dgm:t>
    </dgm:pt>
    <dgm:pt modelId="{FA491E9A-BBAD-4627-B9F7-5B75FCEF6181}" type="parTrans" cxnId="{A4E6B405-A990-4B35-B82E-2709A5B0CB52}">
      <dgm:prSet/>
      <dgm:spPr/>
      <dgm:t>
        <a:bodyPr/>
        <a:lstStyle/>
        <a:p>
          <a:endParaRPr lang="en-US"/>
        </a:p>
      </dgm:t>
    </dgm:pt>
    <dgm:pt modelId="{714A2796-9738-4129-A601-8A65E2A69B98}" type="sibTrans" cxnId="{A4E6B405-A990-4B35-B82E-2709A5B0CB52}">
      <dgm:prSet/>
      <dgm:spPr/>
      <dgm:t>
        <a:bodyPr/>
        <a:lstStyle/>
        <a:p>
          <a:endParaRPr lang="en-US"/>
        </a:p>
      </dgm:t>
    </dgm:pt>
    <dgm:pt modelId="{FB5BA8EC-0805-45D5-9DDE-5A4FA702AB98}">
      <dgm:prSet/>
      <dgm:spPr/>
      <dgm:t>
        <a:bodyPr/>
        <a:lstStyle/>
        <a:p>
          <a:r>
            <a:rPr lang="en-US"/>
            <a:t>Copy on Products Database</a:t>
          </a:r>
        </a:p>
      </dgm:t>
    </dgm:pt>
    <dgm:pt modelId="{7BF01A80-ECEF-4B39-B0BE-E956329950F0}" type="parTrans" cxnId="{048B95AD-CA5F-4181-9B8F-4ACD435C9AD8}">
      <dgm:prSet/>
      <dgm:spPr/>
      <dgm:t>
        <a:bodyPr/>
        <a:lstStyle/>
        <a:p>
          <a:endParaRPr lang="en-US"/>
        </a:p>
      </dgm:t>
    </dgm:pt>
    <dgm:pt modelId="{BEC051C7-076A-474E-98A0-18F831B54E61}" type="sibTrans" cxnId="{048B95AD-CA5F-4181-9B8F-4ACD435C9AD8}">
      <dgm:prSet/>
      <dgm:spPr/>
      <dgm:t>
        <a:bodyPr/>
        <a:lstStyle/>
        <a:p>
          <a:endParaRPr lang="en-US"/>
        </a:p>
      </dgm:t>
    </dgm:pt>
    <dgm:pt modelId="{FD16F931-CB07-4571-A14E-7DB4BD043833}">
      <dgm:prSet/>
      <dgm:spPr/>
      <dgm:t>
        <a:bodyPr/>
        <a:lstStyle/>
        <a:p>
          <a:r>
            <a:rPr lang="en-US"/>
            <a:t>Inform method PE</a:t>
          </a:r>
        </a:p>
      </dgm:t>
    </dgm:pt>
    <dgm:pt modelId="{0EC2AC80-8B8D-4744-AFB8-33BEEBB16F03}" type="parTrans" cxnId="{E37A2C38-05EE-46CF-91A0-91ADE00D01FC}">
      <dgm:prSet/>
      <dgm:spPr/>
      <dgm:t>
        <a:bodyPr/>
        <a:lstStyle/>
        <a:p>
          <a:endParaRPr lang="en-US"/>
        </a:p>
      </dgm:t>
    </dgm:pt>
    <dgm:pt modelId="{73DA01A0-572E-46EE-94FC-B94FDC109B63}" type="sibTrans" cxnId="{E37A2C38-05EE-46CF-91A0-91ADE00D01FC}">
      <dgm:prSet/>
      <dgm:spPr/>
      <dgm:t>
        <a:bodyPr/>
        <a:lstStyle/>
        <a:p>
          <a:endParaRPr lang="en-US"/>
        </a:p>
      </dgm:t>
    </dgm:pt>
    <dgm:pt modelId="{FCCACBCA-D2C1-40A5-8D2F-A946FDE149CD}">
      <dgm:prSet/>
      <dgm:spPr/>
      <dgm:t>
        <a:bodyPr/>
        <a:lstStyle/>
        <a:p>
          <a:r>
            <a:rPr lang="en-US"/>
            <a:t>Update ERP if needed</a:t>
          </a:r>
        </a:p>
      </dgm:t>
    </dgm:pt>
    <dgm:pt modelId="{A6816361-E653-4FDB-BEB1-B5FD7C8D54F8}" type="parTrans" cxnId="{128FE9A8-66A0-4671-8676-BBC6AFD6C2D0}">
      <dgm:prSet/>
      <dgm:spPr/>
      <dgm:t>
        <a:bodyPr/>
        <a:lstStyle/>
        <a:p>
          <a:endParaRPr lang="en-US"/>
        </a:p>
      </dgm:t>
    </dgm:pt>
    <dgm:pt modelId="{6DAD87F3-8C03-472F-BB80-45C0A49A8D65}" type="sibTrans" cxnId="{128FE9A8-66A0-4671-8676-BBC6AFD6C2D0}">
      <dgm:prSet/>
      <dgm:spPr/>
      <dgm:t>
        <a:bodyPr/>
        <a:lstStyle/>
        <a:p>
          <a:endParaRPr lang="en-US"/>
        </a:p>
      </dgm:t>
    </dgm:pt>
    <dgm:pt modelId="{3BB18A80-F111-402D-88BD-BF2032DCE7DB}" type="pres">
      <dgm:prSet presAssocID="{E62C3C9D-B358-47AC-BE42-F2B94C485F2F}" presName="theList" presStyleCnt="0">
        <dgm:presLayoutVars>
          <dgm:dir/>
          <dgm:animLvl val="lvl"/>
          <dgm:resizeHandles val="exact"/>
        </dgm:presLayoutVars>
      </dgm:prSet>
      <dgm:spPr/>
    </dgm:pt>
    <dgm:pt modelId="{2C2386B3-DB33-4C92-AEB0-E5A69774492A}" type="pres">
      <dgm:prSet presAssocID="{A2FC4B86-F28F-473E-9C6E-65FE34046AFD}" presName="compNode" presStyleCnt="0"/>
      <dgm:spPr/>
    </dgm:pt>
    <dgm:pt modelId="{D8630292-AECE-42DF-9E0F-047B7CFBF85C}" type="pres">
      <dgm:prSet presAssocID="{A2FC4B86-F28F-473E-9C6E-65FE34046AFD}" presName="noGeometry" presStyleCnt="0"/>
      <dgm:spPr/>
    </dgm:pt>
    <dgm:pt modelId="{A2DF1F60-2705-4E52-AC4E-E870B57AD839}" type="pres">
      <dgm:prSet presAssocID="{A2FC4B86-F28F-473E-9C6E-65FE34046AFD}" presName="childTextVisible" presStyleLbl="bgAccFollowNode1" presStyleIdx="0" presStyleCnt="4" custScaleX="179051">
        <dgm:presLayoutVars>
          <dgm:bulletEnabled val="1"/>
        </dgm:presLayoutVars>
      </dgm:prSet>
      <dgm:spPr/>
    </dgm:pt>
    <dgm:pt modelId="{C9C11912-36F1-4EAD-84A0-1FE7FAF82244}" type="pres">
      <dgm:prSet presAssocID="{A2FC4B86-F28F-473E-9C6E-65FE34046AFD}" presName="childTextHidden" presStyleLbl="bgAccFollowNode1" presStyleIdx="0" presStyleCnt="4"/>
      <dgm:spPr/>
    </dgm:pt>
    <dgm:pt modelId="{4AE43843-B812-41FA-93BB-F36A7CEF355A}" type="pres">
      <dgm:prSet presAssocID="{A2FC4B86-F28F-473E-9C6E-65FE34046AFD}" presName="parentText" presStyleLbl="node1" presStyleIdx="0" presStyleCnt="4" custLinFactNeighborX="-53825">
        <dgm:presLayoutVars>
          <dgm:chMax val="1"/>
          <dgm:bulletEnabled val="1"/>
        </dgm:presLayoutVars>
      </dgm:prSet>
      <dgm:spPr/>
    </dgm:pt>
    <dgm:pt modelId="{42D2A011-DD87-4D82-9B35-214CA387701B}" type="pres">
      <dgm:prSet presAssocID="{A2FC4B86-F28F-473E-9C6E-65FE34046AFD}" presName="aSpace" presStyleCnt="0"/>
      <dgm:spPr/>
    </dgm:pt>
    <dgm:pt modelId="{7B529F34-7948-41AB-A2A9-AA115A6D9ED7}" type="pres">
      <dgm:prSet presAssocID="{E2799506-D271-436C-92B1-2B62D254056E}" presName="compNode" presStyleCnt="0"/>
      <dgm:spPr/>
    </dgm:pt>
    <dgm:pt modelId="{48D5FB09-4103-46F2-996E-AA9EB366B5F5}" type="pres">
      <dgm:prSet presAssocID="{E2799506-D271-436C-92B1-2B62D254056E}" presName="noGeometry" presStyleCnt="0"/>
      <dgm:spPr/>
    </dgm:pt>
    <dgm:pt modelId="{039335D2-1395-4C07-A199-F076C1C9CC20}" type="pres">
      <dgm:prSet presAssocID="{E2799506-D271-436C-92B1-2B62D254056E}" presName="childTextVisible" presStyleLbl="bgAccFollowNode1" presStyleIdx="1" presStyleCnt="4" custScaleX="179051">
        <dgm:presLayoutVars>
          <dgm:bulletEnabled val="1"/>
        </dgm:presLayoutVars>
      </dgm:prSet>
      <dgm:spPr/>
    </dgm:pt>
    <dgm:pt modelId="{323CEB3F-DEFB-4C34-9839-66B58BFE138E}" type="pres">
      <dgm:prSet presAssocID="{E2799506-D271-436C-92B1-2B62D254056E}" presName="childTextHidden" presStyleLbl="bgAccFollowNode1" presStyleIdx="1" presStyleCnt="4"/>
      <dgm:spPr/>
    </dgm:pt>
    <dgm:pt modelId="{CEEB9C9B-20E8-4AD6-B5E5-9F32E6A10CE0}" type="pres">
      <dgm:prSet presAssocID="{E2799506-D271-436C-92B1-2B62D254056E}" presName="parentText" presStyleLbl="node1" presStyleIdx="1" presStyleCnt="4" custLinFactNeighborX="-53825">
        <dgm:presLayoutVars>
          <dgm:chMax val="1"/>
          <dgm:bulletEnabled val="1"/>
        </dgm:presLayoutVars>
      </dgm:prSet>
      <dgm:spPr/>
    </dgm:pt>
    <dgm:pt modelId="{34E092DE-0708-4404-BCF4-748CEE0A9F5E}" type="pres">
      <dgm:prSet presAssocID="{E2799506-D271-436C-92B1-2B62D254056E}" presName="aSpace" presStyleCnt="0"/>
      <dgm:spPr/>
    </dgm:pt>
    <dgm:pt modelId="{C5586505-81F3-45D0-93C7-1BDBDAF865A1}" type="pres">
      <dgm:prSet presAssocID="{A89FB361-63CD-4B50-A2A5-CB2F12A39385}" presName="compNode" presStyleCnt="0"/>
      <dgm:spPr/>
    </dgm:pt>
    <dgm:pt modelId="{977D5570-1C9D-4FD7-AD4C-ACA558BD4CA2}" type="pres">
      <dgm:prSet presAssocID="{A89FB361-63CD-4B50-A2A5-CB2F12A39385}" presName="noGeometry" presStyleCnt="0"/>
      <dgm:spPr/>
    </dgm:pt>
    <dgm:pt modelId="{ACEF71A0-E4A8-47D4-882A-39A59F887044}" type="pres">
      <dgm:prSet presAssocID="{A89FB361-63CD-4B50-A2A5-CB2F12A39385}" presName="childTextVisible" presStyleLbl="bgAccFollowNode1" presStyleIdx="2" presStyleCnt="4" custScaleX="179051">
        <dgm:presLayoutVars>
          <dgm:bulletEnabled val="1"/>
        </dgm:presLayoutVars>
      </dgm:prSet>
      <dgm:spPr/>
    </dgm:pt>
    <dgm:pt modelId="{1BF5C078-51EA-4CDD-8056-4EDC6D50F927}" type="pres">
      <dgm:prSet presAssocID="{A89FB361-63CD-4B50-A2A5-CB2F12A39385}" presName="childTextHidden" presStyleLbl="bgAccFollowNode1" presStyleIdx="2" presStyleCnt="4"/>
      <dgm:spPr/>
    </dgm:pt>
    <dgm:pt modelId="{39EE990B-6317-489C-9061-F67CCA8D3CA8}" type="pres">
      <dgm:prSet presAssocID="{A89FB361-63CD-4B50-A2A5-CB2F12A39385}" presName="parentText" presStyleLbl="node1" presStyleIdx="2" presStyleCnt="4" custLinFactNeighborX="-53825">
        <dgm:presLayoutVars>
          <dgm:chMax val="1"/>
          <dgm:bulletEnabled val="1"/>
        </dgm:presLayoutVars>
      </dgm:prSet>
      <dgm:spPr/>
    </dgm:pt>
    <dgm:pt modelId="{8346B899-C918-4AEB-853C-97C791399111}" type="pres">
      <dgm:prSet presAssocID="{A89FB361-63CD-4B50-A2A5-CB2F12A39385}" presName="aSpace" presStyleCnt="0"/>
      <dgm:spPr/>
    </dgm:pt>
    <dgm:pt modelId="{5CA10073-3A48-4674-9A36-E4A95C85C6A8}" type="pres">
      <dgm:prSet presAssocID="{F1220614-8375-4DC2-925D-C4A07370B34C}" presName="compNode" presStyleCnt="0"/>
      <dgm:spPr/>
    </dgm:pt>
    <dgm:pt modelId="{5560D11B-0FBE-4520-8EE3-68A4AEF4B612}" type="pres">
      <dgm:prSet presAssocID="{F1220614-8375-4DC2-925D-C4A07370B34C}" presName="noGeometry" presStyleCnt="0"/>
      <dgm:spPr/>
    </dgm:pt>
    <dgm:pt modelId="{31A98D1F-1D41-46A3-83A6-7629F05D8768}" type="pres">
      <dgm:prSet presAssocID="{F1220614-8375-4DC2-925D-C4A07370B34C}" presName="childTextVisible" presStyleLbl="bgAccFollowNode1" presStyleIdx="3" presStyleCnt="4" custScaleX="179051">
        <dgm:presLayoutVars>
          <dgm:bulletEnabled val="1"/>
        </dgm:presLayoutVars>
      </dgm:prSet>
      <dgm:spPr/>
    </dgm:pt>
    <dgm:pt modelId="{422794C8-CA07-4432-8063-D4FF6E8F8B1E}" type="pres">
      <dgm:prSet presAssocID="{F1220614-8375-4DC2-925D-C4A07370B34C}" presName="childTextHidden" presStyleLbl="bgAccFollowNode1" presStyleIdx="3" presStyleCnt="4"/>
      <dgm:spPr/>
    </dgm:pt>
    <dgm:pt modelId="{5F3681FD-4B66-4CCA-8C87-58CC6061B58B}" type="pres">
      <dgm:prSet presAssocID="{F1220614-8375-4DC2-925D-C4A07370B34C}" presName="parentText" presStyleLbl="node1" presStyleIdx="3" presStyleCnt="4" custLinFactNeighborX="-53825">
        <dgm:presLayoutVars>
          <dgm:chMax val="1"/>
          <dgm:bulletEnabled val="1"/>
        </dgm:presLayoutVars>
      </dgm:prSet>
      <dgm:spPr/>
    </dgm:pt>
  </dgm:ptLst>
  <dgm:cxnLst>
    <dgm:cxn modelId="{A4E6B405-A990-4B35-B82E-2709A5B0CB52}" srcId="{F1220614-8375-4DC2-925D-C4A07370B34C}" destId="{11B599CF-C5B7-4746-9F74-063D7425DB98}" srcOrd="0" destOrd="0" parTransId="{FA491E9A-BBAD-4627-B9F7-5B75FCEF6181}" sibTransId="{714A2796-9738-4129-A601-8A65E2A69B98}"/>
    <dgm:cxn modelId="{763FF609-C2D2-4335-BF3E-ADD75E18FBEE}" type="presOf" srcId="{98AF853A-6625-4F91-B6F6-9E0EB30AB9AC}" destId="{1BF5C078-51EA-4CDD-8056-4EDC6D50F927}" srcOrd="1" destOrd="0" presId="urn:microsoft.com/office/officeart/2005/8/layout/hProcess6"/>
    <dgm:cxn modelId="{5A7B3B0B-9E9E-4CD3-961E-A61D522839F5}" srcId="{E62C3C9D-B358-47AC-BE42-F2B94C485F2F}" destId="{E2799506-D271-436C-92B1-2B62D254056E}" srcOrd="1" destOrd="0" parTransId="{AC86D2EC-530E-4D82-913F-C1EC9895C4E2}" sibTransId="{57E9C8C4-8A28-42AB-B8CF-2FDE8684B26A}"/>
    <dgm:cxn modelId="{56C6DD13-4346-491E-849E-DE3B09CD7482}" srcId="{E62C3C9D-B358-47AC-BE42-F2B94C485F2F}" destId="{F1220614-8375-4DC2-925D-C4A07370B34C}" srcOrd="3" destOrd="0" parTransId="{597C466A-138E-4696-B467-5CCF506DFA64}" sibTransId="{D7B24723-D044-4DC9-8D77-3526E07D4718}"/>
    <dgm:cxn modelId="{8E5A6B27-F6F4-4935-AD4C-A9AA62A5521B}" type="presOf" srcId="{98AF853A-6625-4F91-B6F6-9E0EB30AB9AC}" destId="{ACEF71A0-E4A8-47D4-882A-39A59F887044}" srcOrd="0" destOrd="0" presId="urn:microsoft.com/office/officeart/2005/8/layout/hProcess6"/>
    <dgm:cxn modelId="{35C9E22B-AA63-4775-9B6D-527872299044}" srcId="{A2FC4B86-F28F-473E-9C6E-65FE34046AFD}" destId="{FD778329-2BB4-44E6-8A52-AD7CDB99D501}" srcOrd="1" destOrd="0" parTransId="{431DE971-86E5-4A36-83EA-8CF130BD1DD1}" sibTransId="{879FE910-A01A-4FCB-BF2C-9B878E667F75}"/>
    <dgm:cxn modelId="{ED7F9931-F029-413B-B8E6-0B4AC9EAC16D}" srcId="{A89FB361-63CD-4B50-A2A5-CB2F12A39385}" destId="{98AF853A-6625-4F91-B6F6-9E0EB30AB9AC}" srcOrd="0" destOrd="0" parTransId="{E1856551-D2CE-4F4F-A9DA-C1F003F654A0}" sibTransId="{3CA3B8CB-9F83-46FB-85C9-C5266AB65B7E}"/>
    <dgm:cxn modelId="{E37A2C38-05EE-46CF-91A0-91ADE00D01FC}" srcId="{A89FB361-63CD-4B50-A2A5-CB2F12A39385}" destId="{FD16F931-CB07-4571-A14E-7DB4BD043833}" srcOrd="1" destOrd="0" parTransId="{0EC2AC80-8B8D-4744-AFB8-33BEEBB16F03}" sibTransId="{73DA01A0-572E-46EE-94FC-B94FDC109B63}"/>
    <dgm:cxn modelId="{17C30760-1CED-4263-BE19-B16FCA131C41}" type="presOf" srcId="{09A10E9C-07F4-4D45-9FB6-0F75FFBB0CE5}" destId="{323CEB3F-DEFB-4C34-9839-66B58BFE138E}" srcOrd="1" destOrd="0" presId="urn:microsoft.com/office/officeart/2005/8/layout/hProcess6"/>
    <dgm:cxn modelId="{F2B6F142-F8D6-4907-BAB7-46F23722297C}" type="presOf" srcId="{050E4315-1A8B-47BC-AA32-5FF460B6D8DD}" destId="{C9C11912-36F1-4EAD-84A0-1FE7FAF82244}" srcOrd="1" destOrd="0" presId="urn:microsoft.com/office/officeart/2005/8/layout/hProcess6"/>
    <dgm:cxn modelId="{2D721B67-E12B-46B5-A4BC-E84AA34B64CD}" type="presOf" srcId="{A89FB361-63CD-4B50-A2A5-CB2F12A39385}" destId="{39EE990B-6317-489C-9061-F67CCA8D3CA8}" srcOrd="0" destOrd="0" presId="urn:microsoft.com/office/officeart/2005/8/layout/hProcess6"/>
    <dgm:cxn modelId="{77D3B24E-E594-46DE-A90B-F82D8CF06EFB}" type="presOf" srcId="{E2799506-D271-436C-92B1-2B62D254056E}" destId="{CEEB9C9B-20E8-4AD6-B5E5-9F32E6A10CE0}" srcOrd="0" destOrd="0" presId="urn:microsoft.com/office/officeart/2005/8/layout/hProcess6"/>
    <dgm:cxn modelId="{622BC457-5615-45ED-96D7-992B76B8ED10}" srcId="{E62C3C9D-B358-47AC-BE42-F2B94C485F2F}" destId="{A2FC4B86-F28F-473E-9C6E-65FE34046AFD}" srcOrd="0" destOrd="0" parTransId="{E3AFD187-F282-4D95-97CF-68CCADDD0596}" sibTransId="{4190737A-B539-49BE-8154-B1E0FFE37EA0}"/>
    <dgm:cxn modelId="{8394827F-64F8-44B3-954F-054810CADF0D}" type="presOf" srcId="{FD16F931-CB07-4571-A14E-7DB4BD043833}" destId="{1BF5C078-51EA-4CDD-8056-4EDC6D50F927}" srcOrd="1" destOrd="1" presId="urn:microsoft.com/office/officeart/2005/8/layout/hProcess6"/>
    <dgm:cxn modelId="{C3181881-065B-4E1D-811D-A3228C4CFA41}" type="presOf" srcId="{050E4315-1A8B-47BC-AA32-5FF460B6D8DD}" destId="{A2DF1F60-2705-4E52-AC4E-E870B57AD839}" srcOrd="0" destOrd="0" presId="urn:microsoft.com/office/officeart/2005/8/layout/hProcess6"/>
    <dgm:cxn modelId="{AE858C84-93ED-4DD4-A7DF-A48CCDB06F6A}" type="presOf" srcId="{11B599CF-C5B7-4746-9F74-063D7425DB98}" destId="{31A98D1F-1D41-46A3-83A6-7629F05D8768}" srcOrd="0" destOrd="0" presId="urn:microsoft.com/office/officeart/2005/8/layout/hProcess6"/>
    <dgm:cxn modelId="{128ED29E-7261-47AB-97E5-4115A97976D9}" type="presOf" srcId="{FD778329-2BB4-44E6-8A52-AD7CDB99D501}" destId="{A2DF1F60-2705-4E52-AC4E-E870B57AD839}" srcOrd="0" destOrd="1" presId="urn:microsoft.com/office/officeart/2005/8/layout/hProcess6"/>
    <dgm:cxn modelId="{272B26A4-3093-484C-B221-D72CA5EA7B67}" type="presOf" srcId="{FD16F931-CB07-4571-A14E-7DB4BD043833}" destId="{ACEF71A0-E4A8-47D4-882A-39A59F887044}" srcOrd="0" destOrd="1" presId="urn:microsoft.com/office/officeart/2005/8/layout/hProcess6"/>
    <dgm:cxn modelId="{C0719AA5-FF25-4D8A-A141-B06B16E63308}" type="presOf" srcId="{F1220614-8375-4DC2-925D-C4A07370B34C}" destId="{5F3681FD-4B66-4CCA-8C87-58CC6061B58B}" srcOrd="0" destOrd="0" presId="urn:microsoft.com/office/officeart/2005/8/layout/hProcess6"/>
    <dgm:cxn modelId="{EF8B3FA6-9992-4149-AD41-DE4C42DDEAB9}" type="presOf" srcId="{FB5BA8EC-0805-45D5-9DDE-5A4FA702AB98}" destId="{422794C8-CA07-4432-8063-D4FF6E8F8B1E}" srcOrd="1" destOrd="1" presId="urn:microsoft.com/office/officeart/2005/8/layout/hProcess6"/>
    <dgm:cxn modelId="{128FE9A8-66A0-4671-8676-BBC6AFD6C2D0}" srcId="{F1220614-8375-4DC2-925D-C4A07370B34C}" destId="{FCCACBCA-D2C1-40A5-8D2F-A946FDE149CD}" srcOrd="2" destOrd="0" parTransId="{A6816361-E653-4FDB-BEB1-B5FD7C8D54F8}" sibTransId="{6DAD87F3-8C03-472F-BB80-45C0A49A8D65}"/>
    <dgm:cxn modelId="{048B95AD-CA5F-4181-9B8F-4ACD435C9AD8}" srcId="{F1220614-8375-4DC2-925D-C4A07370B34C}" destId="{FB5BA8EC-0805-45D5-9DDE-5A4FA702AB98}" srcOrd="1" destOrd="0" parTransId="{7BF01A80-ECEF-4B39-B0BE-E956329950F0}" sibTransId="{BEC051C7-076A-474E-98A0-18F831B54E61}"/>
    <dgm:cxn modelId="{4BA848B5-22DA-4944-986C-6523BD7F235D}" type="presOf" srcId="{E62C3C9D-B358-47AC-BE42-F2B94C485F2F}" destId="{3BB18A80-F111-402D-88BD-BF2032DCE7DB}" srcOrd="0" destOrd="0" presId="urn:microsoft.com/office/officeart/2005/8/layout/hProcess6"/>
    <dgm:cxn modelId="{A2BB14BF-48B7-4E09-BD1A-B7DD0D593A15}" type="presOf" srcId="{09A10E9C-07F4-4D45-9FB6-0F75FFBB0CE5}" destId="{039335D2-1395-4C07-A199-F076C1C9CC20}" srcOrd="0" destOrd="0" presId="urn:microsoft.com/office/officeart/2005/8/layout/hProcess6"/>
    <dgm:cxn modelId="{B8D224C6-E710-484E-926A-382DA22B89B2}" srcId="{E62C3C9D-B358-47AC-BE42-F2B94C485F2F}" destId="{A89FB361-63CD-4B50-A2A5-CB2F12A39385}" srcOrd="2" destOrd="0" parTransId="{8480D9D4-F499-43CB-9328-976F8BA3F5A8}" sibTransId="{A932BD94-132C-41D0-B5B0-73193CE87100}"/>
    <dgm:cxn modelId="{26BCDFC8-0B58-44A8-894D-B4AE87CA259A}" type="presOf" srcId="{FB5BA8EC-0805-45D5-9DDE-5A4FA702AB98}" destId="{31A98D1F-1D41-46A3-83A6-7629F05D8768}" srcOrd="0" destOrd="1" presId="urn:microsoft.com/office/officeart/2005/8/layout/hProcess6"/>
    <dgm:cxn modelId="{BB0A74CA-43CA-4E99-967A-3BC680AD60F0}" type="presOf" srcId="{FCCACBCA-D2C1-40A5-8D2F-A946FDE149CD}" destId="{422794C8-CA07-4432-8063-D4FF6E8F8B1E}" srcOrd="1" destOrd="2" presId="urn:microsoft.com/office/officeart/2005/8/layout/hProcess6"/>
    <dgm:cxn modelId="{19642DCF-F9D7-48D8-A8BE-5B92844F8205}" type="presOf" srcId="{A2FC4B86-F28F-473E-9C6E-65FE34046AFD}" destId="{4AE43843-B812-41FA-93BB-F36A7CEF355A}" srcOrd="0" destOrd="0" presId="urn:microsoft.com/office/officeart/2005/8/layout/hProcess6"/>
    <dgm:cxn modelId="{77D1D5D5-DFD3-481D-A798-97FFC07946D6}" type="presOf" srcId="{FCCACBCA-D2C1-40A5-8D2F-A946FDE149CD}" destId="{31A98D1F-1D41-46A3-83A6-7629F05D8768}" srcOrd="0" destOrd="2" presId="urn:microsoft.com/office/officeart/2005/8/layout/hProcess6"/>
    <dgm:cxn modelId="{54DE09E1-EEDB-4B10-9DFB-AF16500AB81C}" type="presOf" srcId="{FD778329-2BB4-44E6-8A52-AD7CDB99D501}" destId="{C9C11912-36F1-4EAD-84A0-1FE7FAF82244}" srcOrd="1" destOrd="1" presId="urn:microsoft.com/office/officeart/2005/8/layout/hProcess6"/>
    <dgm:cxn modelId="{75CF23EE-AAB5-4017-A02E-02291F656B7F}" srcId="{A2FC4B86-F28F-473E-9C6E-65FE34046AFD}" destId="{050E4315-1A8B-47BC-AA32-5FF460B6D8DD}" srcOrd="0" destOrd="0" parTransId="{88A01793-E698-4948-9179-62847738B35F}" sibTransId="{726CF8A6-7390-490D-88E3-87091DDB493D}"/>
    <dgm:cxn modelId="{914BD5F0-0C01-4BCD-8AF3-B98970F8BC40}" srcId="{E2799506-D271-436C-92B1-2B62D254056E}" destId="{09A10E9C-07F4-4D45-9FB6-0F75FFBB0CE5}" srcOrd="0" destOrd="0" parTransId="{6A610F58-34ED-4BF9-B08F-3EDC07C4B246}" sibTransId="{422A6ED9-A949-4175-ABB5-2DFAAE454F9D}"/>
    <dgm:cxn modelId="{39D60AFD-998E-4ADF-B286-B5F22F650626}" type="presOf" srcId="{11B599CF-C5B7-4746-9F74-063D7425DB98}" destId="{422794C8-CA07-4432-8063-D4FF6E8F8B1E}" srcOrd="1" destOrd="0" presId="urn:microsoft.com/office/officeart/2005/8/layout/hProcess6"/>
    <dgm:cxn modelId="{3DC859C3-AACE-4C3F-AA59-723DC1B8D176}" type="presParOf" srcId="{3BB18A80-F111-402D-88BD-BF2032DCE7DB}" destId="{2C2386B3-DB33-4C92-AEB0-E5A69774492A}" srcOrd="0" destOrd="0" presId="urn:microsoft.com/office/officeart/2005/8/layout/hProcess6"/>
    <dgm:cxn modelId="{A3ACF562-7CCB-406B-8D9D-0B0F1FEFBD88}" type="presParOf" srcId="{2C2386B3-DB33-4C92-AEB0-E5A69774492A}" destId="{D8630292-AECE-42DF-9E0F-047B7CFBF85C}" srcOrd="0" destOrd="0" presId="urn:microsoft.com/office/officeart/2005/8/layout/hProcess6"/>
    <dgm:cxn modelId="{085FDD18-3FD6-40A8-BBBE-1133BA5F86EB}" type="presParOf" srcId="{2C2386B3-DB33-4C92-AEB0-E5A69774492A}" destId="{A2DF1F60-2705-4E52-AC4E-E870B57AD839}" srcOrd="1" destOrd="0" presId="urn:microsoft.com/office/officeart/2005/8/layout/hProcess6"/>
    <dgm:cxn modelId="{BEA18F71-E609-409C-8891-9311FEB2D5FC}" type="presParOf" srcId="{2C2386B3-DB33-4C92-AEB0-E5A69774492A}" destId="{C9C11912-36F1-4EAD-84A0-1FE7FAF82244}" srcOrd="2" destOrd="0" presId="urn:microsoft.com/office/officeart/2005/8/layout/hProcess6"/>
    <dgm:cxn modelId="{35696E90-076D-4310-8DC3-5459968AD1D6}" type="presParOf" srcId="{2C2386B3-DB33-4C92-AEB0-E5A69774492A}" destId="{4AE43843-B812-41FA-93BB-F36A7CEF355A}" srcOrd="3" destOrd="0" presId="urn:microsoft.com/office/officeart/2005/8/layout/hProcess6"/>
    <dgm:cxn modelId="{A4590743-6277-4B2B-9F7D-7EDE97F47400}" type="presParOf" srcId="{3BB18A80-F111-402D-88BD-BF2032DCE7DB}" destId="{42D2A011-DD87-4D82-9B35-214CA387701B}" srcOrd="1" destOrd="0" presId="urn:microsoft.com/office/officeart/2005/8/layout/hProcess6"/>
    <dgm:cxn modelId="{9131D41D-3756-4DCA-9303-471F5A3BB28C}" type="presParOf" srcId="{3BB18A80-F111-402D-88BD-BF2032DCE7DB}" destId="{7B529F34-7948-41AB-A2A9-AA115A6D9ED7}" srcOrd="2" destOrd="0" presId="urn:microsoft.com/office/officeart/2005/8/layout/hProcess6"/>
    <dgm:cxn modelId="{9CA3A895-B989-486B-AF83-62DE117058D0}" type="presParOf" srcId="{7B529F34-7948-41AB-A2A9-AA115A6D9ED7}" destId="{48D5FB09-4103-46F2-996E-AA9EB366B5F5}" srcOrd="0" destOrd="0" presId="urn:microsoft.com/office/officeart/2005/8/layout/hProcess6"/>
    <dgm:cxn modelId="{201903DC-A809-40AA-8CC9-ECEB79E58989}" type="presParOf" srcId="{7B529F34-7948-41AB-A2A9-AA115A6D9ED7}" destId="{039335D2-1395-4C07-A199-F076C1C9CC20}" srcOrd="1" destOrd="0" presId="urn:microsoft.com/office/officeart/2005/8/layout/hProcess6"/>
    <dgm:cxn modelId="{3F59C1A6-34F5-4933-8482-BDD4A945B624}" type="presParOf" srcId="{7B529F34-7948-41AB-A2A9-AA115A6D9ED7}" destId="{323CEB3F-DEFB-4C34-9839-66B58BFE138E}" srcOrd="2" destOrd="0" presId="urn:microsoft.com/office/officeart/2005/8/layout/hProcess6"/>
    <dgm:cxn modelId="{74F44A96-7DD2-426A-95EA-3FD067C72943}" type="presParOf" srcId="{7B529F34-7948-41AB-A2A9-AA115A6D9ED7}" destId="{CEEB9C9B-20E8-4AD6-B5E5-9F32E6A10CE0}" srcOrd="3" destOrd="0" presId="urn:microsoft.com/office/officeart/2005/8/layout/hProcess6"/>
    <dgm:cxn modelId="{1B03F0B6-A2B4-42CB-9DB8-4B61FA3BC3B8}" type="presParOf" srcId="{3BB18A80-F111-402D-88BD-BF2032DCE7DB}" destId="{34E092DE-0708-4404-BCF4-748CEE0A9F5E}" srcOrd="3" destOrd="0" presId="urn:microsoft.com/office/officeart/2005/8/layout/hProcess6"/>
    <dgm:cxn modelId="{314D1AAE-A797-4452-8699-05FA50D74683}" type="presParOf" srcId="{3BB18A80-F111-402D-88BD-BF2032DCE7DB}" destId="{C5586505-81F3-45D0-93C7-1BDBDAF865A1}" srcOrd="4" destOrd="0" presId="urn:microsoft.com/office/officeart/2005/8/layout/hProcess6"/>
    <dgm:cxn modelId="{B1F0D7AA-0469-40C6-B49E-A85B9E1EAECE}" type="presParOf" srcId="{C5586505-81F3-45D0-93C7-1BDBDAF865A1}" destId="{977D5570-1C9D-4FD7-AD4C-ACA558BD4CA2}" srcOrd="0" destOrd="0" presId="urn:microsoft.com/office/officeart/2005/8/layout/hProcess6"/>
    <dgm:cxn modelId="{BD6A3DC3-F63D-4593-8AC6-C180C68AD732}" type="presParOf" srcId="{C5586505-81F3-45D0-93C7-1BDBDAF865A1}" destId="{ACEF71A0-E4A8-47D4-882A-39A59F887044}" srcOrd="1" destOrd="0" presId="urn:microsoft.com/office/officeart/2005/8/layout/hProcess6"/>
    <dgm:cxn modelId="{A8798BBA-5E25-4619-962A-66A87361E32E}" type="presParOf" srcId="{C5586505-81F3-45D0-93C7-1BDBDAF865A1}" destId="{1BF5C078-51EA-4CDD-8056-4EDC6D50F927}" srcOrd="2" destOrd="0" presId="urn:microsoft.com/office/officeart/2005/8/layout/hProcess6"/>
    <dgm:cxn modelId="{A7084A3C-363A-472B-8D3C-630A2D7FED04}" type="presParOf" srcId="{C5586505-81F3-45D0-93C7-1BDBDAF865A1}" destId="{39EE990B-6317-489C-9061-F67CCA8D3CA8}" srcOrd="3" destOrd="0" presId="urn:microsoft.com/office/officeart/2005/8/layout/hProcess6"/>
    <dgm:cxn modelId="{679F7938-3498-4677-B6CD-B70C75F5EB00}" type="presParOf" srcId="{3BB18A80-F111-402D-88BD-BF2032DCE7DB}" destId="{8346B899-C918-4AEB-853C-97C791399111}" srcOrd="5" destOrd="0" presId="urn:microsoft.com/office/officeart/2005/8/layout/hProcess6"/>
    <dgm:cxn modelId="{B7809027-7ECC-48FB-A10C-CB44183CA1BC}" type="presParOf" srcId="{3BB18A80-F111-402D-88BD-BF2032DCE7DB}" destId="{5CA10073-3A48-4674-9A36-E4A95C85C6A8}" srcOrd="6" destOrd="0" presId="urn:microsoft.com/office/officeart/2005/8/layout/hProcess6"/>
    <dgm:cxn modelId="{47902AEE-F5DA-4034-A34D-9463DF539A91}" type="presParOf" srcId="{5CA10073-3A48-4674-9A36-E4A95C85C6A8}" destId="{5560D11B-0FBE-4520-8EE3-68A4AEF4B612}" srcOrd="0" destOrd="0" presId="urn:microsoft.com/office/officeart/2005/8/layout/hProcess6"/>
    <dgm:cxn modelId="{597C5CCC-869E-4B93-AF9A-501D8E0456CB}" type="presParOf" srcId="{5CA10073-3A48-4674-9A36-E4A95C85C6A8}" destId="{31A98D1F-1D41-46A3-83A6-7629F05D8768}" srcOrd="1" destOrd="0" presId="urn:microsoft.com/office/officeart/2005/8/layout/hProcess6"/>
    <dgm:cxn modelId="{BC781EDF-567C-4C21-AE67-D516562A969E}" type="presParOf" srcId="{5CA10073-3A48-4674-9A36-E4A95C85C6A8}" destId="{422794C8-CA07-4432-8063-D4FF6E8F8B1E}" srcOrd="2" destOrd="0" presId="urn:microsoft.com/office/officeart/2005/8/layout/hProcess6"/>
    <dgm:cxn modelId="{ECE1726B-9FFE-4E18-80A0-4A42B44C9726}" type="presParOf" srcId="{5CA10073-3A48-4674-9A36-E4A95C85C6A8}" destId="{5F3681FD-4B66-4CCA-8C87-58CC6061B58B}" srcOrd="3" destOrd="0" presId="urn:microsoft.com/office/officeart/2005/8/layout/hProcess6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2DF1F60-2705-4E52-AC4E-E870B57AD839}">
      <dsp:nvSpPr>
        <dsp:cNvPr id="0" name=""/>
        <dsp:cNvSpPr/>
      </dsp:nvSpPr>
      <dsp:spPr>
        <a:xfrm>
          <a:off x="2800" y="383607"/>
          <a:ext cx="1648608" cy="804849"/>
        </a:xfrm>
        <a:prstGeom prst="rightArrow">
          <a:avLst>
            <a:gd name="adj1" fmla="val 70000"/>
            <a:gd name="adj2" fmla="val 50000"/>
          </a:avLst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5240" tIns="3810" rIns="7620" bIns="3810" numCol="1" spcCol="1270" anchor="ctr" anchorCtr="0">
          <a:noAutofit/>
        </a:bodyPr>
        <a:lstStyle/>
        <a:p>
          <a:pPr marL="57150" lvl="1" indent="-57150" algn="l" defTabSz="2667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600" kern="1200"/>
            <a:t>Creates the BOM</a:t>
          </a:r>
        </a:p>
        <a:p>
          <a:pPr marL="57150" lvl="1" indent="-57150" algn="l" defTabSz="2667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600" kern="1200"/>
            <a:t>Place it on Pxxxx</a:t>
          </a:r>
        </a:p>
        <a:p>
          <a:pPr marL="57150" lvl="1" indent="-57150" algn="l" defTabSz="2667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600" kern="1200"/>
            <a:t>If no design, creation by PMF</a:t>
          </a:r>
        </a:p>
      </dsp:txBody>
      <dsp:txXfrm>
        <a:off x="414952" y="504334"/>
        <a:ext cx="954759" cy="563395"/>
      </dsp:txXfrm>
    </dsp:sp>
    <dsp:sp modelId="{4AE43843-B812-41FA-93BB-F36A7CEF355A}">
      <dsp:nvSpPr>
        <dsp:cNvPr id="0" name=""/>
        <dsp:cNvSpPr/>
      </dsp:nvSpPr>
      <dsp:spPr>
        <a:xfrm>
          <a:off x="0" y="555844"/>
          <a:ext cx="460374" cy="460374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R&amp;D</a:t>
          </a:r>
        </a:p>
      </dsp:txBody>
      <dsp:txXfrm>
        <a:off x="67420" y="623264"/>
        <a:ext cx="325534" cy="325534"/>
      </dsp:txXfrm>
    </dsp:sp>
    <dsp:sp modelId="{039335D2-1395-4C07-A199-F076C1C9CC20}">
      <dsp:nvSpPr>
        <dsp:cNvPr id="0" name=""/>
        <dsp:cNvSpPr/>
      </dsp:nvSpPr>
      <dsp:spPr>
        <a:xfrm>
          <a:off x="1708956" y="383607"/>
          <a:ext cx="1648608" cy="804849"/>
        </a:xfrm>
        <a:prstGeom prst="rightArrow">
          <a:avLst>
            <a:gd name="adj1" fmla="val 70000"/>
            <a:gd name="adj2" fmla="val 50000"/>
          </a:avLst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5240" tIns="3810" rIns="762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Validates BOM content</a:t>
          </a:r>
        </a:p>
      </dsp:txBody>
      <dsp:txXfrm>
        <a:off x="2121108" y="504334"/>
        <a:ext cx="954759" cy="563395"/>
      </dsp:txXfrm>
    </dsp:sp>
    <dsp:sp modelId="{CEEB9C9B-20E8-4AD6-B5E5-9F32E6A10CE0}">
      <dsp:nvSpPr>
        <dsp:cNvPr id="0" name=""/>
        <dsp:cNvSpPr/>
      </dsp:nvSpPr>
      <dsp:spPr>
        <a:xfrm>
          <a:off x="1594903" y="555844"/>
          <a:ext cx="460374" cy="460374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PMF</a:t>
          </a:r>
        </a:p>
      </dsp:txBody>
      <dsp:txXfrm>
        <a:off x="1662323" y="623264"/>
        <a:ext cx="325534" cy="325534"/>
      </dsp:txXfrm>
    </dsp:sp>
    <dsp:sp modelId="{ACEF71A0-E4A8-47D4-882A-39A59F887044}">
      <dsp:nvSpPr>
        <dsp:cNvPr id="0" name=""/>
        <dsp:cNvSpPr/>
      </dsp:nvSpPr>
      <dsp:spPr>
        <a:xfrm>
          <a:off x="3415112" y="383607"/>
          <a:ext cx="1648608" cy="804849"/>
        </a:xfrm>
        <a:prstGeom prst="rightArrow">
          <a:avLst>
            <a:gd name="adj1" fmla="val 70000"/>
            <a:gd name="adj2" fmla="val 50000"/>
          </a:avLst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5240" tIns="3810" rIns="762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Adds missing elements</a:t>
          </a:r>
        </a:p>
      </dsp:txBody>
      <dsp:txXfrm>
        <a:off x="3827264" y="504334"/>
        <a:ext cx="954759" cy="563395"/>
      </dsp:txXfrm>
    </dsp:sp>
    <dsp:sp modelId="{39EE990B-6317-489C-9061-F67CCA8D3CA8}">
      <dsp:nvSpPr>
        <dsp:cNvPr id="0" name=""/>
        <dsp:cNvSpPr/>
      </dsp:nvSpPr>
      <dsp:spPr>
        <a:xfrm>
          <a:off x="3301058" y="555844"/>
          <a:ext cx="460374" cy="460374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Method PE</a:t>
          </a:r>
        </a:p>
      </dsp:txBody>
      <dsp:txXfrm>
        <a:off x="3368478" y="623264"/>
        <a:ext cx="325534" cy="325534"/>
      </dsp:txXfrm>
    </dsp:sp>
    <dsp:sp modelId="{99B1993F-3D37-4046-8935-4E0C92BFE5BD}">
      <dsp:nvSpPr>
        <dsp:cNvPr id="0" name=""/>
        <dsp:cNvSpPr/>
      </dsp:nvSpPr>
      <dsp:spPr>
        <a:xfrm>
          <a:off x="5121267" y="383607"/>
          <a:ext cx="1648608" cy="804849"/>
        </a:xfrm>
        <a:prstGeom prst="rightArrow">
          <a:avLst>
            <a:gd name="adj1" fmla="val 70000"/>
            <a:gd name="adj2" fmla="val 50000"/>
          </a:avLst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5240" tIns="3810" rIns="762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Validates BOM content </a:t>
          </a:r>
        </a:p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(AIS : PMC / MIF : PMF)</a:t>
          </a:r>
        </a:p>
      </dsp:txBody>
      <dsp:txXfrm>
        <a:off x="5533420" y="504334"/>
        <a:ext cx="954759" cy="563395"/>
      </dsp:txXfrm>
    </dsp:sp>
    <dsp:sp modelId="{A086F9D8-8E9A-4341-A747-0363B369CFEE}">
      <dsp:nvSpPr>
        <dsp:cNvPr id="0" name=""/>
        <dsp:cNvSpPr/>
      </dsp:nvSpPr>
      <dsp:spPr>
        <a:xfrm>
          <a:off x="5007214" y="555844"/>
          <a:ext cx="460374" cy="460374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PM</a:t>
          </a:r>
        </a:p>
      </dsp:txBody>
      <dsp:txXfrm>
        <a:off x="5074634" y="623264"/>
        <a:ext cx="325534" cy="325534"/>
      </dsp:txXfrm>
    </dsp:sp>
    <dsp:sp modelId="{0C188B41-CFD2-42B7-938B-2BBCA6563718}">
      <dsp:nvSpPr>
        <dsp:cNvPr id="0" name=""/>
        <dsp:cNvSpPr/>
      </dsp:nvSpPr>
      <dsp:spPr>
        <a:xfrm>
          <a:off x="6827423" y="383607"/>
          <a:ext cx="1648608" cy="804849"/>
        </a:xfrm>
        <a:prstGeom prst="rightArrow">
          <a:avLst>
            <a:gd name="adj1" fmla="val 70000"/>
            <a:gd name="adj2" fmla="val 50000"/>
          </a:avLst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3175" rIns="6350" bIns="3175" numCol="1" spcCol="1270" anchor="ctr" anchorCtr="0">
          <a:noAutofit/>
        </a:bodyPr>
        <a:lstStyle/>
        <a:p>
          <a:pPr marL="57150" lvl="1" indent="-57150" algn="l" defTabSz="2222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500" kern="1200"/>
            <a:t>AIS : BOM clerk Input BOM in ERP</a:t>
          </a:r>
        </a:p>
        <a:p>
          <a:pPr marL="57150" lvl="1" indent="-57150" algn="l" defTabSz="2222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500" kern="1200"/>
            <a:t>AIS : Copy on Products Database</a:t>
          </a:r>
        </a:p>
        <a:p>
          <a:pPr marL="57150" lvl="1" indent="-57150" algn="l" defTabSz="2222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500" kern="1200"/>
            <a:t>MIF : customer service input BOM in ERP</a:t>
          </a:r>
        </a:p>
      </dsp:txBody>
      <dsp:txXfrm>
        <a:off x="7239575" y="504334"/>
        <a:ext cx="954759" cy="563395"/>
      </dsp:txXfrm>
    </dsp:sp>
    <dsp:sp modelId="{0606E10C-82CF-4AE0-BBAE-7AB0775AF405}">
      <dsp:nvSpPr>
        <dsp:cNvPr id="0" name=""/>
        <dsp:cNvSpPr/>
      </dsp:nvSpPr>
      <dsp:spPr>
        <a:xfrm>
          <a:off x="6713370" y="555844"/>
          <a:ext cx="460374" cy="460374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Method PE</a:t>
          </a:r>
        </a:p>
      </dsp:txBody>
      <dsp:txXfrm>
        <a:off x="6780790" y="623264"/>
        <a:ext cx="325534" cy="325534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2DF1F60-2705-4E52-AC4E-E870B57AD839}">
      <dsp:nvSpPr>
        <dsp:cNvPr id="0" name=""/>
        <dsp:cNvSpPr/>
      </dsp:nvSpPr>
      <dsp:spPr>
        <a:xfrm>
          <a:off x="3122" y="70504"/>
          <a:ext cx="1648960" cy="805021"/>
        </a:xfrm>
        <a:prstGeom prst="rightArrow">
          <a:avLst>
            <a:gd name="adj1" fmla="val 70000"/>
            <a:gd name="adj2" fmla="val 50000"/>
          </a:avLst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5240" tIns="3810" rIns="7620" bIns="3810" numCol="1" spcCol="1270" anchor="ctr" anchorCtr="0">
          <a:noAutofit/>
        </a:bodyPr>
        <a:lstStyle/>
        <a:p>
          <a:pPr marL="57150" lvl="1" indent="-57150" algn="l" defTabSz="2667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600" kern="1200"/>
            <a:t>Copy the BOM from Products Database</a:t>
          </a:r>
        </a:p>
        <a:p>
          <a:pPr marL="57150" lvl="1" indent="-57150" algn="l" defTabSz="2667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600" kern="1200"/>
            <a:t>Place it on Pxxxx</a:t>
          </a:r>
        </a:p>
      </dsp:txBody>
      <dsp:txXfrm>
        <a:off x="415363" y="191257"/>
        <a:ext cx="954963" cy="563515"/>
      </dsp:txXfrm>
    </dsp:sp>
    <dsp:sp modelId="{4AE43843-B812-41FA-93BB-F36A7CEF355A}">
      <dsp:nvSpPr>
        <dsp:cNvPr id="0" name=""/>
        <dsp:cNvSpPr/>
      </dsp:nvSpPr>
      <dsp:spPr>
        <a:xfrm>
          <a:off x="0" y="242779"/>
          <a:ext cx="460472" cy="460472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PMF</a:t>
          </a:r>
        </a:p>
      </dsp:txBody>
      <dsp:txXfrm>
        <a:off x="67435" y="310214"/>
        <a:ext cx="325602" cy="325602"/>
      </dsp:txXfrm>
    </dsp:sp>
    <dsp:sp modelId="{039335D2-1395-4C07-A199-F076C1C9CC20}">
      <dsp:nvSpPr>
        <dsp:cNvPr id="0" name=""/>
        <dsp:cNvSpPr/>
      </dsp:nvSpPr>
      <dsp:spPr>
        <a:xfrm>
          <a:off x="1709642" y="70504"/>
          <a:ext cx="1648960" cy="805021"/>
        </a:xfrm>
        <a:prstGeom prst="rightArrow">
          <a:avLst>
            <a:gd name="adj1" fmla="val 70000"/>
            <a:gd name="adj2" fmla="val 50000"/>
          </a:avLst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5240" tIns="3810" rIns="762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Does the change on Pxxxx</a:t>
          </a:r>
        </a:p>
      </dsp:txBody>
      <dsp:txXfrm>
        <a:off x="2121882" y="191257"/>
        <a:ext cx="954963" cy="563515"/>
      </dsp:txXfrm>
    </dsp:sp>
    <dsp:sp modelId="{CEEB9C9B-20E8-4AD6-B5E5-9F32E6A10CE0}">
      <dsp:nvSpPr>
        <dsp:cNvPr id="0" name=""/>
        <dsp:cNvSpPr/>
      </dsp:nvSpPr>
      <dsp:spPr>
        <a:xfrm>
          <a:off x="1595565" y="242779"/>
          <a:ext cx="460472" cy="460472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R&amp;D </a:t>
          </a:r>
        </a:p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Method PE</a:t>
          </a:r>
        </a:p>
      </dsp:txBody>
      <dsp:txXfrm>
        <a:off x="1663000" y="310214"/>
        <a:ext cx="325602" cy="325602"/>
      </dsp:txXfrm>
    </dsp:sp>
    <dsp:sp modelId="{ACEF71A0-E4A8-47D4-882A-39A59F887044}">
      <dsp:nvSpPr>
        <dsp:cNvPr id="0" name=""/>
        <dsp:cNvSpPr/>
      </dsp:nvSpPr>
      <dsp:spPr>
        <a:xfrm>
          <a:off x="3416162" y="70504"/>
          <a:ext cx="1648960" cy="805021"/>
        </a:xfrm>
        <a:prstGeom prst="rightArrow">
          <a:avLst>
            <a:gd name="adj1" fmla="val 70000"/>
            <a:gd name="adj2" fmla="val 50000"/>
          </a:avLst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5240" tIns="3810" rIns="7620" bIns="3810" numCol="1" spcCol="1270" anchor="ctr" anchorCtr="0">
          <a:noAutofit/>
        </a:bodyPr>
        <a:lstStyle/>
        <a:p>
          <a:pPr marL="57150" lvl="1" indent="-57150" algn="l" defTabSz="2667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600" kern="1200"/>
            <a:t>Validates BOM content</a:t>
          </a:r>
        </a:p>
        <a:p>
          <a:pPr marL="57150" lvl="1" indent="-57150" algn="l" defTabSz="2667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600" kern="1200"/>
            <a:t>Inform method PE</a:t>
          </a:r>
        </a:p>
      </dsp:txBody>
      <dsp:txXfrm>
        <a:off x="3828402" y="191257"/>
        <a:ext cx="954963" cy="563515"/>
      </dsp:txXfrm>
    </dsp:sp>
    <dsp:sp modelId="{39EE990B-6317-489C-9061-F67CCA8D3CA8}">
      <dsp:nvSpPr>
        <dsp:cNvPr id="0" name=""/>
        <dsp:cNvSpPr/>
      </dsp:nvSpPr>
      <dsp:spPr>
        <a:xfrm>
          <a:off x="3302085" y="242779"/>
          <a:ext cx="460472" cy="460472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PMF PMC</a:t>
          </a:r>
        </a:p>
      </dsp:txBody>
      <dsp:txXfrm>
        <a:off x="3369520" y="310214"/>
        <a:ext cx="325602" cy="325602"/>
      </dsp:txXfrm>
    </dsp:sp>
    <dsp:sp modelId="{31A98D1F-1D41-46A3-83A6-7629F05D8768}">
      <dsp:nvSpPr>
        <dsp:cNvPr id="0" name=""/>
        <dsp:cNvSpPr/>
      </dsp:nvSpPr>
      <dsp:spPr>
        <a:xfrm>
          <a:off x="5122682" y="70504"/>
          <a:ext cx="1648960" cy="805021"/>
        </a:xfrm>
        <a:prstGeom prst="rightArrow">
          <a:avLst>
            <a:gd name="adj1" fmla="val 70000"/>
            <a:gd name="adj2" fmla="val 50000"/>
          </a:avLst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5240" tIns="3810" rIns="7620" bIns="3810" numCol="1" spcCol="1270" anchor="ctr" anchorCtr="0">
          <a:noAutofit/>
        </a:bodyPr>
        <a:lstStyle/>
        <a:p>
          <a:pPr marL="57150" lvl="1" indent="-57150" algn="l" defTabSz="2667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600" kern="1200"/>
            <a:t>Takes the BOM from Pxxxx</a:t>
          </a:r>
        </a:p>
        <a:p>
          <a:pPr marL="57150" lvl="1" indent="-57150" algn="l" defTabSz="2667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600" kern="1200"/>
            <a:t>Copy on Products Database</a:t>
          </a:r>
        </a:p>
        <a:p>
          <a:pPr marL="57150" lvl="1" indent="-57150" algn="l" defTabSz="2667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600" kern="1200"/>
            <a:t>Update ERP if needed</a:t>
          </a:r>
        </a:p>
      </dsp:txBody>
      <dsp:txXfrm>
        <a:off x="5534922" y="191257"/>
        <a:ext cx="954963" cy="563515"/>
      </dsp:txXfrm>
    </dsp:sp>
    <dsp:sp modelId="{5F3681FD-4B66-4CCA-8C87-58CC6061B58B}">
      <dsp:nvSpPr>
        <dsp:cNvPr id="0" name=""/>
        <dsp:cNvSpPr/>
      </dsp:nvSpPr>
      <dsp:spPr>
        <a:xfrm>
          <a:off x="5008604" y="242779"/>
          <a:ext cx="460472" cy="460472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Method PE</a:t>
          </a:r>
        </a:p>
      </dsp:txBody>
      <dsp:txXfrm>
        <a:off x="5076039" y="310214"/>
        <a:ext cx="325602" cy="32560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6">
  <dgm:title val=""/>
  <dgm:desc val=""/>
  <dgm:catLst>
    <dgm:cat type="process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theList">
    <dgm:varLst>
      <dgm:dir/>
      <dgm:animLvl val="lvl"/>
      <dgm:resizeHandles val="exact"/>
    </dgm:varLst>
    <dgm:choose name="Name0">
      <dgm:if name="Name1" func="var" arg="dir" op="equ" val="norm">
        <dgm:alg type="lin">
          <dgm:param type="linDir" val="fromL"/>
          <dgm:param type="nodeHorzAlign" val="l"/>
        </dgm:alg>
      </dgm:if>
      <dgm:else name="Name2">
        <dgm:alg type="lin">
          <dgm:param type="linDir" val="fromR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h" for="ch" forName="compNode" refType="w" refFor="ch" refForName="compNode" fact="0.7"/>
      <dgm:constr type="ctrY" for="ch" forName="compNode" refType="h" fact="0.5"/>
      <dgm:constr type="w" for="ch" forName="aSpace" refType="w" fact="0.05"/>
      <dgm:constr type="primFontSz" for="des" forName="childTextHidden" op="equ" val="65"/>
      <dgm:constr type="primFontSz" for="des" forName="parentText" op="equ"/>
    </dgm:constrLst>
    <dgm:ruleLst/>
    <dgm:forEach name="aNodeForEach" axis="ch" ptType="node">
      <dgm:layoutNode name="compNode">
        <dgm:alg type="composite">
          <dgm:param type="ar" val="1.43"/>
        </dgm:alg>
        <dgm:shape xmlns:r="http://schemas.openxmlformats.org/officeDocument/2006/relationships" r:blip="">
          <dgm:adjLst/>
        </dgm:shape>
        <dgm:presOf/>
        <dgm:choose name="Name3">
          <dgm:if name="Name4" func="var" arg="dir" op="equ" val="norm">
            <dgm:constrLst>
              <dgm:constr type="w" for="ch" forName="childTextVisible" refType="w" fact="0.8"/>
              <dgm:constr type="h" for="ch" forName="childTextVisible" refType="h"/>
              <dgm:constr type="r" for="ch" forName="childTextVisible" refType="w"/>
              <dgm:constr type="w" for="ch" forName="childTextHidden" refType="w" fact="0.6"/>
              <dgm:constr type="h" for="ch" forName="childTextHidden" refType="h"/>
              <dgm:constr type="r" for="ch" forName="childTextHidden" refType="w"/>
              <dgm:constr type="l" for="ch" forName="parentText"/>
              <dgm:constr type="w" for="ch" forName="parentText" refType="w" fact="0.4"/>
              <dgm:constr type="h" for="ch" forName="parentText" refType="w" refFor="ch" refForName="parentText" op="equ"/>
              <dgm:constr type="ctrY" for="ch" forName="parentText" refType="h" fact="0.5"/>
            </dgm:constrLst>
          </dgm:if>
          <dgm:else name="Name5">
            <dgm:constrLst>
              <dgm:constr type="w" for="ch" forName="childTextVisible" refType="w" fact="0.8"/>
              <dgm:constr type="h" for="ch" forName="childTextVisible" refType="h"/>
              <dgm:constr type="l" for="ch" forName="childTextVisible"/>
              <dgm:constr type="w" for="ch" forName="childTextHidden" refType="w" fact="0.6"/>
              <dgm:constr type="h" for="ch" forName="childTextHidden" refType="h"/>
              <dgm:constr type="l" for="ch" forName="childTextHidden"/>
              <dgm:constr type="r" for="ch" forName="parentText" refType="w"/>
              <dgm:constr type="w" for="ch" forName="parentText" refType="w" fact="0.4"/>
              <dgm:constr type="h" for="ch" forName="parentText" refType="w" refFor="ch" refForName="parentText" op="equ"/>
              <dgm:constr type="ctrY" for="ch" forName="parentText" refType="h" fact="0.5"/>
            </dgm:constrLst>
          </dgm:else>
        </dgm:choose>
        <dgm:ruleLst/>
        <dgm:layoutNode name="noGeometry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  <dgm:layoutNode name="childTextVisible" styleLbl="bgAccFollowNode1">
          <dgm:varLst>
            <dgm:bulletEnabled val="1"/>
          </dgm:varLst>
          <dgm:alg type="sp"/>
          <dgm:choose name="Name6">
            <dgm:if name="Name7" func="var" arg="dir" op="equ" val="norm">
              <dgm:shape xmlns:r="http://schemas.openxmlformats.org/officeDocument/2006/relationships" type="rightArrow" r:blip="">
                <dgm:adjLst>
                  <dgm:adj idx="1" val="0.7"/>
                  <dgm:adj idx="2" val="0.5"/>
                </dgm:adjLst>
              </dgm:shape>
            </dgm:if>
            <dgm:else name="Name8">
              <dgm:shape xmlns:r="http://schemas.openxmlformats.org/officeDocument/2006/relationships" type="leftArrow" r:blip="">
                <dgm:adjLst>
                  <dgm:adj idx="1" val="0.7"/>
                  <dgm:adj idx="2" val="0.5"/>
                </dgm:adjLst>
              </dgm:shape>
            </dgm:else>
          </dgm:choose>
          <dgm:presOf axis="des" ptType="node"/>
          <dgm:constrLst/>
          <dgm:ruleLst/>
        </dgm:layoutNode>
        <dgm:layoutNode name="childTextHidden" styleLbl="bgAccFollowNode1">
          <dgm:choose name="Name9">
            <dgm:if name="Name10" axis="des followSib" ptType="node node" st="1 1" cnt="1 0" func="cnt" op="gte" val="1">
              <dgm:alg type="tx">
                <dgm:param type="stBulletLvl" val="1"/>
                <dgm:param type="txAnchorVertCh" val="mid"/>
              </dgm:alg>
            </dgm:if>
            <dgm:else name="Name11">
              <dgm:alg type="tx">
                <dgm:param type="stBulletLvl" val="2"/>
                <dgm:param type="txAnchorVertCh" val="mid"/>
              </dgm:alg>
            </dgm:else>
          </dgm:choose>
          <dgm:choose name="Name12">
            <dgm:if name="Name13" func="var" arg="dir" op="equ" val="norm">
              <dgm:shape xmlns:r="http://schemas.openxmlformats.org/officeDocument/2006/relationships" type="rightArrow" r:blip="" hideGeom="1">
                <dgm:adjLst>
                  <dgm:adj idx="1" val="0.7"/>
                  <dgm:adj idx="2" val="0.5"/>
                </dgm:adjLst>
              </dgm:shape>
            </dgm:if>
            <dgm:else name="Name14">
              <dgm:shape xmlns:r="http://schemas.openxmlformats.org/officeDocument/2006/relationships" type="leftArrow" r:blip="" hideGeom="1">
                <dgm:adjLst>
                  <dgm:adj idx="1" val="0.7"/>
                  <dgm:adj idx="2" val="0.5"/>
                </dgm:adjLst>
              </dgm:shape>
            </dgm:else>
          </dgm:choose>
          <dgm:presOf axis="des" ptType="node"/>
          <dgm:constrLst>
            <dgm:constr type="secFontSz" refType="primFontSz"/>
            <dgm:constr type="tMarg" refType="primFontSz" fact="0.05"/>
            <dgm:constr type="bMarg" refType="primFontSz" fact="0.05"/>
            <dgm:constr type="rMarg" refType="primFontSz" fact="0.1"/>
            <dgm:constr type="lMarg" refType="primFontSz" fact="0.2"/>
          </dgm:constrLst>
          <dgm:ruleLst>
            <dgm:rule type="primFontSz" val="5" fact="NaN" max="NaN"/>
          </dgm:ruleLst>
        </dgm:layoutNode>
        <dgm:layoutNode name="parentText" styleLbl="node1">
          <dgm:varLst>
            <dgm:chMax val="1"/>
            <dgm:bulletEnabled val="1"/>
          </dgm:varLst>
          <dgm:alg type="tx"/>
          <dgm:shape xmlns:r="http://schemas.openxmlformats.org/officeDocument/2006/relationships" type="ellipse" r:blip="">
            <dgm:adjLst/>
          </dgm:shape>
          <dgm:presOf axis="self"/>
          <dgm:constrLst>
            <dgm:constr type="primFontSz" val="65"/>
            <dgm:constr type="tMarg" refType="primFontSz" fact="0.05"/>
            <dgm:constr type="bMarg" refType="primFontSz" fact="0.05"/>
            <dgm:constr type="lMarg" refType="primFontSz" fact="0.05"/>
            <dgm:constr type="rMarg" refType="primFontSz" fact="0.05"/>
          </dgm:constrLst>
          <dgm:ruleLst>
            <dgm:rule type="primFontSz" val="5" fact="NaN" max="NaN"/>
          </dgm:ruleLst>
        </dgm:layoutNode>
      </dgm:layoutNode>
      <dgm:choose name="Name15">
        <dgm:if name="Name16" axis="self" ptType="node" func="revPos" op="gte" val="2">
          <dgm:layoutNode name="aSpace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if>
        <dgm:else name="Name17"/>
      </dgm:choose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Process6">
  <dgm:title val=""/>
  <dgm:desc val=""/>
  <dgm:catLst>
    <dgm:cat type="process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theList">
    <dgm:varLst>
      <dgm:dir/>
      <dgm:animLvl val="lvl"/>
      <dgm:resizeHandles val="exact"/>
    </dgm:varLst>
    <dgm:choose name="Name0">
      <dgm:if name="Name1" func="var" arg="dir" op="equ" val="norm">
        <dgm:alg type="lin">
          <dgm:param type="linDir" val="fromL"/>
          <dgm:param type="nodeHorzAlign" val="l"/>
        </dgm:alg>
      </dgm:if>
      <dgm:else name="Name2">
        <dgm:alg type="lin">
          <dgm:param type="linDir" val="fromR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h" for="ch" forName="compNode" refType="w" refFor="ch" refForName="compNode" fact="0.7"/>
      <dgm:constr type="ctrY" for="ch" forName="compNode" refType="h" fact="0.5"/>
      <dgm:constr type="w" for="ch" forName="aSpace" refType="w" fact="0.05"/>
      <dgm:constr type="primFontSz" for="des" forName="childTextHidden" op="equ" val="65"/>
      <dgm:constr type="primFontSz" for="des" forName="parentText" op="equ"/>
    </dgm:constrLst>
    <dgm:ruleLst/>
    <dgm:forEach name="aNodeForEach" axis="ch" ptType="node">
      <dgm:layoutNode name="compNode">
        <dgm:alg type="composite">
          <dgm:param type="ar" val="1.43"/>
        </dgm:alg>
        <dgm:shape xmlns:r="http://schemas.openxmlformats.org/officeDocument/2006/relationships" r:blip="">
          <dgm:adjLst/>
        </dgm:shape>
        <dgm:presOf/>
        <dgm:choose name="Name3">
          <dgm:if name="Name4" func="var" arg="dir" op="equ" val="norm">
            <dgm:constrLst>
              <dgm:constr type="w" for="ch" forName="childTextVisible" refType="w" fact="0.8"/>
              <dgm:constr type="h" for="ch" forName="childTextVisible" refType="h"/>
              <dgm:constr type="r" for="ch" forName="childTextVisible" refType="w"/>
              <dgm:constr type="w" for="ch" forName="childTextHidden" refType="w" fact="0.6"/>
              <dgm:constr type="h" for="ch" forName="childTextHidden" refType="h"/>
              <dgm:constr type="r" for="ch" forName="childTextHidden" refType="w"/>
              <dgm:constr type="l" for="ch" forName="parentText"/>
              <dgm:constr type="w" for="ch" forName="parentText" refType="w" fact="0.4"/>
              <dgm:constr type="h" for="ch" forName="parentText" refType="w" refFor="ch" refForName="parentText" op="equ"/>
              <dgm:constr type="ctrY" for="ch" forName="parentText" refType="h" fact="0.5"/>
            </dgm:constrLst>
          </dgm:if>
          <dgm:else name="Name5">
            <dgm:constrLst>
              <dgm:constr type="w" for="ch" forName="childTextVisible" refType="w" fact="0.8"/>
              <dgm:constr type="h" for="ch" forName="childTextVisible" refType="h"/>
              <dgm:constr type="l" for="ch" forName="childTextVisible"/>
              <dgm:constr type="w" for="ch" forName="childTextHidden" refType="w" fact="0.6"/>
              <dgm:constr type="h" for="ch" forName="childTextHidden" refType="h"/>
              <dgm:constr type="l" for="ch" forName="childTextHidden"/>
              <dgm:constr type="r" for="ch" forName="parentText" refType="w"/>
              <dgm:constr type="w" for="ch" forName="parentText" refType="w" fact="0.4"/>
              <dgm:constr type="h" for="ch" forName="parentText" refType="w" refFor="ch" refForName="parentText" op="equ"/>
              <dgm:constr type="ctrY" for="ch" forName="parentText" refType="h" fact="0.5"/>
            </dgm:constrLst>
          </dgm:else>
        </dgm:choose>
        <dgm:ruleLst/>
        <dgm:layoutNode name="noGeometry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  <dgm:layoutNode name="childTextVisible" styleLbl="bgAccFollowNode1">
          <dgm:varLst>
            <dgm:bulletEnabled val="1"/>
          </dgm:varLst>
          <dgm:alg type="sp"/>
          <dgm:choose name="Name6">
            <dgm:if name="Name7" func="var" arg="dir" op="equ" val="norm">
              <dgm:shape xmlns:r="http://schemas.openxmlformats.org/officeDocument/2006/relationships" type="rightArrow" r:blip="">
                <dgm:adjLst>
                  <dgm:adj idx="1" val="0.7"/>
                  <dgm:adj idx="2" val="0.5"/>
                </dgm:adjLst>
              </dgm:shape>
            </dgm:if>
            <dgm:else name="Name8">
              <dgm:shape xmlns:r="http://schemas.openxmlformats.org/officeDocument/2006/relationships" type="leftArrow" r:blip="">
                <dgm:adjLst>
                  <dgm:adj idx="1" val="0.7"/>
                  <dgm:adj idx="2" val="0.5"/>
                </dgm:adjLst>
              </dgm:shape>
            </dgm:else>
          </dgm:choose>
          <dgm:presOf axis="des" ptType="node"/>
          <dgm:constrLst/>
          <dgm:ruleLst/>
        </dgm:layoutNode>
        <dgm:layoutNode name="childTextHidden" styleLbl="bgAccFollowNode1">
          <dgm:choose name="Name9">
            <dgm:if name="Name10" axis="des followSib" ptType="node node" st="1 1" cnt="1 0" func="cnt" op="gte" val="1">
              <dgm:alg type="tx">
                <dgm:param type="stBulletLvl" val="1"/>
                <dgm:param type="txAnchorVertCh" val="mid"/>
              </dgm:alg>
            </dgm:if>
            <dgm:else name="Name11">
              <dgm:alg type="tx">
                <dgm:param type="stBulletLvl" val="2"/>
                <dgm:param type="txAnchorVertCh" val="mid"/>
              </dgm:alg>
            </dgm:else>
          </dgm:choose>
          <dgm:choose name="Name12">
            <dgm:if name="Name13" func="var" arg="dir" op="equ" val="norm">
              <dgm:shape xmlns:r="http://schemas.openxmlformats.org/officeDocument/2006/relationships" type="rightArrow" r:blip="" hideGeom="1">
                <dgm:adjLst>
                  <dgm:adj idx="1" val="0.7"/>
                  <dgm:adj idx="2" val="0.5"/>
                </dgm:adjLst>
              </dgm:shape>
            </dgm:if>
            <dgm:else name="Name14">
              <dgm:shape xmlns:r="http://schemas.openxmlformats.org/officeDocument/2006/relationships" type="leftArrow" r:blip="" hideGeom="1">
                <dgm:adjLst>
                  <dgm:adj idx="1" val="0.7"/>
                  <dgm:adj idx="2" val="0.5"/>
                </dgm:adjLst>
              </dgm:shape>
            </dgm:else>
          </dgm:choose>
          <dgm:presOf axis="des" ptType="node"/>
          <dgm:constrLst>
            <dgm:constr type="secFontSz" refType="primFontSz"/>
            <dgm:constr type="tMarg" refType="primFontSz" fact="0.05"/>
            <dgm:constr type="bMarg" refType="primFontSz" fact="0.05"/>
            <dgm:constr type="rMarg" refType="primFontSz" fact="0.1"/>
            <dgm:constr type="lMarg" refType="primFontSz" fact="0.2"/>
          </dgm:constrLst>
          <dgm:ruleLst>
            <dgm:rule type="primFontSz" val="5" fact="NaN" max="NaN"/>
          </dgm:ruleLst>
        </dgm:layoutNode>
        <dgm:layoutNode name="parentText" styleLbl="node1">
          <dgm:varLst>
            <dgm:chMax val="1"/>
            <dgm:bulletEnabled val="1"/>
          </dgm:varLst>
          <dgm:alg type="tx"/>
          <dgm:shape xmlns:r="http://schemas.openxmlformats.org/officeDocument/2006/relationships" type="ellipse" r:blip="">
            <dgm:adjLst/>
          </dgm:shape>
          <dgm:presOf axis="self"/>
          <dgm:constrLst>
            <dgm:constr type="primFontSz" val="65"/>
            <dgm:constr type="tMarg" refType="primFontSz" fact="0.05"/>
            <dgm:constr type="bMarg" refType="primFontSz" fact="0.05"/>
            <dgm:constr type="lMarg" refType="primFontSz" fact="0.05"/>
            <dgm:constr type="rMarg" refType="primFontSz" fact="0.05"/>
          </dgm:constrLst>
          <dgm:ruleLst>
            <dgm:rule type="primFontSz" val="5" fact="NaN" max="NaN"/>
          </dgm:ruleLst>
        </dgm:layoutNode>
      </dgm:layoutNode>
      <dgm:choose name="Name15">
        <dgm:if name="Name16" axis="self" ptType="node" func="revPos" op="gte" val="2">
          <dgm:layoutNode name="aSpace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if>
        <dgm:else name="Name17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137160</xdr:colOff>
      <xdr:row>0</xdr:row>
      <xdr:rowOff>0</xdr:rowOff>
    </xdr:from>
    <xdr:to>
      <xdr:col>1</xdr:col>
      <xdr:colOff>1679110</xdr:colOff>
      <xdr:row>3</xdr:row>
      <xdr:rowOff>0</xdr:rowOff>
    </xdr:to>
    <xdr:pic>
      <xdr:nvPicPr>
        <xdr:cNvPr id="2" name="Image 1" descr="Une image contenant capture d’écran, noir, Graphique, obscurité&#10;&#10;Description générée automatiquement">
          <a:extLst>
            <a:ext uri="{FF2B5EF4-FFF2-40B4-BE49-F238E27FC236}">
              <a16:creationId xmlns:a16="http://schemas.microsoft.com/office/drawing/2014/main" id="{1D9F4C7E-2C65-3F73-5701-6407A87CD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0"/>
          <a:ext cx="1541950" cy="480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139700</xdr:rowOff>
    </xdr:from>
    <xdr:to>
      <xdr:col>2</xdr:col>
      <xdr:colOff>2873369</xdr:colOff>
      <xdr:row>1</xdr:row>
      <xdr:rowOff>419100</xdr:rowOff>
    </xdr:to>
    <xdr:pic>
      <xdr:nvPicPr>
        <xdr:cNvPr id="2" name="Image 1" descr="Une image contenant capture d’écran, noir, Graphique, obscurité&#10;&#10;Description générée automatiquement">
          <a:extLst>
            <a:ext uri="{FF2B5EF4-FFF2-40B4-BE49-F238E27FC236}">
              <a16:creationId xmlns:a16="http://schemas.microsoft.com/office/drawing/2014/main" id="{1D9F4C7E-2C65-3F73-5701-6407A87CD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0" y="139700"/>
          <a:ext cx="3059424" cy="952500"/>
        </a:xfrm>
        <a:prstGeom prst="rect">
          <a:avLst/>
        </a:prstGeom>
      </xdr:spPr>
    </xdr:pic>
    <xdr:clientData/>
  </xdr:twoCellAnchor>
  <xdr:twoCellAnchor>
    <xdr:from>
      <xdr:col>8</xdr:col>
      <xdr:colOff>955845</xdr:colOff>
      <xdr:row>0</xdr:row>
      <xdr:rowOff>248404</xdr:rowOff>
    </xdr:from>
    <xdr:to>
      <xdr:col>8</xdr:col>
      <xdr:colOff>1355222</xdr:colOff>
      <xdr:row>0</xdr:row>
      <xdr:rowOff>619498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ED51F36-B10A-E6EB-8746-40858B310E27}"/>
            </a:ext>
          </a:extLst>
        </xdr:cNvPr>
        <xdr:cNvSpPr/>
      </xdr:nvSpPr>
      <xdr:spPr>
        <a:xfrm>
          <a:off x="11826251" y="248404"/>
          <a:ext cx="399377" cy="371094"/>
        </a:xfrm>
        <a:prstGeom prst="rect">
          <a:avLst/>
        </a:prstGeom>
        <a:solidFill>
          <a:srgbClr val="92D050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800" b="1">
              <a:solidFill>
                <a:sysClr val="windowText" lastClr="000000"/>
              </a:solidFill>
            </a:rPr>
            <a:t>MIF and</a:t>
          </a:r>
        </a:p>
        <a:p>
          <a:pPr algn="ctr"/>
          <a:r>
            <a:rPr lang="en-US" sz="800" b="1">
              <a:solidFill>
                <a:sysClr val="windowText" lastClr="000000"/>
              </a:solidFill>
            </a:rPr>
            <a:t>AIS</a:t>
          </a:r>
        </a:p>
      </xdr:txBody>
    </xdr:sp>
    <xdr:clientData/>
  </xdr:twoCellAnchor>
  <xdr:twoCellAnchor>
    <xdr:from>
      <xdr:col>8</xdr:col>
      <xdr:colOff>504264</xdr:colOff>
      <xdr:row>0</xdr:row>
      <xdr:rowOff>249651</xdr:rowOff>
    </xdr:from>
    <xdr:to>
      <xdr:col>8</xdr:col>
      <xdr:colOff>930874</xdr:colOff>
      <xdr:row>0</xdr:row>
      <xdr:rowOff>618229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433E99E-F8F6-4A66-B6A8-6050BD0145D7}"/>
            </a:ext>
          </a:extLst>
        </xdr:cNvPr>
        <xdr:cNvSpPr/>
      </xdr:nvSpPr>
      <xdr:spPr>
        <a:xfrm>
          <a:off x="12438529" y="249651"/>
          <a:ext cx="426610" cy="368578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MIF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64770</xdr:colOff>
      <xdr:row>7</xdr:row>
      <xdr:rowOff>516255</xdr:rowOff>
    </xdr:from>
    <xdr:ext cx="1083566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BF4744-14F3-7C25-B39F-5BFDF1E12843}"/>
            </a:ext>
          </a:extLst>
        </xdr:cNvPr>
        <xdr:cNvSpPr txBox="1"/>
      </xdr:nvSpPr>
      <xdr:spPr>
        <a:xfrm>
          <a:off x="798195" y="1773555"/>
          <a:ext cx="10835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BOM</a:t>
          </a:r>
          <a:r>
            <a:rPr lang="en-US" sz="1100" baseline="0"/>
            <a:t> c</a:t>
          </a:r>
          <a:r>
            <a:rPr lang="en-US" sz="1100"/>
            <a:t>reation : </a:t>
          </a:r>
        </a:p>
      </xdr:txBody>
    </xdr:sp>
    <xdr:clientData/>
  </xdr:oneCellAnchor>
  <xdr:oneCellAnchor>
    <xdr:from>
      <xdr:col>1</xdr:col>
      <xdr:colOff>47625</xdr:colOff>
      <xdr:row>8</xdr:row>
      <xdr:rowOff>691515</xdr:rowOff>
    </xdr:from>
    <xdr:ext cx="1180580" cy="436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FD51611-6E62-4F82-BE6B-B532062A4FF4}"/>
            </a:ext>
          </a:extLst>
        </xdr:cNvPr>
        <xdr:cNvSpPr txBox="1"/>
      </xdr:nvSpPr>
      <xdr:spPr>
        <a:xfrm>
          <a:off x="781050" y="2701290"/>
          <a:ext cx="118058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Mass production </a:t>
          </a:r>
        </a:p>
        <a:p>
          <a:r>
            <a:rPr lang="en-US" sz="1100"/>
            <a:t>BOM</a:t>
          </a:r>
          <a:r>
            <a:rPr lang="en-US" sz="1100" baseline="0"/>
            <a:t> u</a:t>
          </a:r>
          <a:r>
            <a:rPr lang="en-US" sz="1100"/>
            <a:t>pdate : </a:t>
          </a:r>
        </a:p>
      </xdr:txBody>
    </xdr:sp>
    <xdr:clientData/>
  </xdr:oneCellAnchor>
  <xdr:twoCellAnchor editAs="oneCell">
    <xdr:from>
      <xdr:col>1</xdr:col>
      <xdr:colOff>1162050</xdr:colOff>
      <xdr:row>7</xdr:row>
      <xdr:rowOff>72792</xdr:rowOff>
    </xdr:from>
    <xdr:to>
      <xdr:col>8</xdr:col>
      <xdr:colOff>1237551</xdr:colOff>
      <xdr:row>8</xdr:row>
      <xdr:rowOff>514350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6BE072-9C95-D49E-BB1B-C6830BCFB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475" y="1330092"/>
          <a:ext cx="9781476" cy="1184508"/>
        </a:xfrm>
        <a:prstGeom prst="rect">
          <a:avLst/>
        </a:prstGeom>
      </xdr:spPr>
    </xdr:pic>
    <xdr:clientData/>
  </xdr:twoCellAnchor>
  <xdr:twoCellAnchor editAs="oneCell">
    <xdr:from>
      <xdr:col>1</xdr:col>
      <xdr:colOff>1186815</xdr:colOff>
      <xdr:row>8</xdr:row>
      <xdr:rowOff>419491</xdr:rowOff>
    </xdr:from>
    <xdr:to>
      <xdr:col>7</xdr:col>
      <xdr:colOff>662940</xdr:colOff>
      <xdr:row>9</xdr:row>
      <xdr:rowOff>702797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009309-C336-3B9B-694A-F3F21FDD8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0240" y="2429266"/>
          <a:ext cx="7852410" cy="10395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74030</xdr:colOff>
      <xdr:row>2</xdr:row>
      <xdr:rowOff>5715</xdr:rowOff>
    </xdr:from>
    <xdr:to>
      <xdr:col>15</xdr:col>
      <xdr:colOff>14653</xdr:colOff>
      <xdr:row>11</xdr:row>
      <xdr:rowOff>36634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1638A96-5B04-48F5-A1E9-C208A5135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</xdr:col>
      <xdr:colOff>92028</xdr:colOff>
      <xdr:row>12</xdr:row>
      <xdr:rowOff>135863</xdr:rowOff>
    </xdr:from>
    <xdr:to>
      <xdr:col>12</xdr:col>
      <xdr:colOff>163099</xdr:colOff>
      <xdr:row>18</xdr:row>
      <xdr:rowOff>47479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974A5F81-F4B2-4944-A765-7587A05DF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5"/>
  <sheetViews>
    <sheetView zoomScaleNormal="100" zoomScaleSheetLayoutView="70" workbookViewId="0">
      <selection activeCell="C20" sqref="C20:G20"/>
    </sheetView>
  </sheetViews>
  <sheetFormatPr defaultColWidth="11.453125" defaultRowHeight="10.5"/>
  <cols>
    <col min="1" max="1" width="3.36328125" style="20" customWidth="1"/>
    <col min="2" max="2" width="25.36328125" style="4" customWidth="1"/>
    <col min="3" max="3" width="16" style="5" customWidth="1"/>
    <col min="4" max="5" width="15.453125" style="5" customWidth="1"/>
    <col min="6" max="6" width="15.36328125" style="5" customWidth="1"/>
    <col min="7" max="7" width="13.36328125" style="5" bestFit="1" customWidth="1"/>
    <col min="8" max="8" width="13.36328125" style="5" customWidth="1"/>
    <col min="9" max="9" width="15.6328125" style="5" customWidth="1"/>
    <col min="10" max="10" width="18.54296875" style="4" customWidth="1"/>
    <col min="11" max="11" width="17.36328125" style="5" customWidth="1"/>
    <col min="12" max="12" width="17.6328125" style="4" customWidth="1"/>
    <col min="13" max="16384" width="11.453125" style="4"/>
  </cols>
  <sheetData>
    <row r="1" spans="1:12" s="7" customFormat="1" ht="12.75" customHeight="1">
      <c r="B1" s="109"/>
      <c r="C1" s="118" t="s">
        <v>131</v>
      </c>
      <c r="D1" s="119"/>
      <c r="E1" s="119"/>
      <c r="F1" s="119"/>
      <c r="G1" s="119"/>
      <c r="H1" s="119"/>
      <c r="I1" s="120"/>
      <c r="J1" s="106" t="s">
        <v>141</v>
      </c>
    </row>
    <row r="2" spans="1:12" s="7" customFormat="1" ht="12.75" customHeight="1">
      <c r="B2" s="110"/>
      <c r="C2" s="121"/>
      <c r="D2" s="122"/>
      <c r="E2" s="122"/>
      <c r="F2" s="122"/>
      <c r="G2" s="122"/>
      <c r="H2" s="122"/>
      <c r="I2" s="123"/>
      <c r="J2" s="107"/>
    </row>
    <row r="3" spans="1:12" s="7" customFormat="1" ht="12.75" customHeight="1" thickBot="1">
      <c r="B3" s="111"/>
      <c r="C3" s="124"/>
      <c r="D3" s="125"/>
      <c r="E3" s="125"/>
      <c r="F3" s="125"/>
      <c r="G3" s="125"/>
      <c r="H3" s="125"/>
      <c r="I3" s="126"/>
      <c r="J3" s="108"/>
    </row>
    <row r="4" spans="1:12" s="8" customFormat="1" ht="30" customHeight="1" thickBot="1">
      <c r="B4" s="23" t="s">
        <v>0</v>
      </c>
      <c r="C4" s="9" t="s">
        <v>361</v>
      </c>
      <c r="D4" s="23" t="s">
        <v>2</v>
      </c>
      <c r="E4" s="22" t="s">
        <v>359</v>
      </c>
      <c r="F4" s="25" t="s">
        <v>1</v>
      </c>
      <c r="G4" s="112" t="s">
        <v>360</v>
      </c>
      <c r="H4" s="113"/>
      <c r="I4" s="114"/>
      <c r="J4" s="115"/>
    </row>
    <row r="5" spans="1:12" s="12" customFormat="1" ht="15" customHeight="1">
      <c r="A5" s="10"/>
      <c r="B5" s="10"/>
      <c r="C5" s="11"/>
      <c r="D5" s="11"/>
      <c r="E5" s="11"/>
      <c r="F5" s="11"/>
      <c r="G5" s="11"/>
      <c r="H5" s="11"/>
      <c r="I5" s="11"/>
      <c r="J5" s="11"/>
      <c r="K5" s="11"/>
      <c r="L5" s="10"/>
    </row>
    <row r="6" spans="1:12" s="19" customFormat="1" ht="15" customHeight="1">
      <c r="A6" s="15"/>
      <c r="B6" s="15"/>
      <c r="C6" s="15"/>
      <c r="D6" s="16"/>
      <c r="E6" s="16"/>
      <c r="F6" s="6"/>
      <c r="G6" s="17"/>
      <c r="H6" s="17"/>
      <c r="I6" s="17"/>
      <c r="J6" s="18"/>
      <c r="K6" s="18"/>
      <c r="L6" s="18"/>
    </row>
    <row r="7" spans="1:12" s="46" customFormat="1" ht="23.5" thickBot="1">
      <c r="A7" s="42"/>
      <c r="B7" s="43"/>
      <c r="C7" s="43"/>
      <c r="D7" s="44"/>
      <c r="E7" s="44"/>
      <c r="F7" s="45"/>
      <c r="G7" s="41"/>
      <c r="H7" s="41" t="s">
        <v>168</v>
      </c>
      <c r="I7" s="41" t="s">
        <v>172</v>
      </c>
      <c r="K7" s="42"/>
      <c r="L7" s="44"/>
    </row>
    <row r="8" spans="1:12" s="19" customFormat="1" ht="15" customHeight="1">
      <c r="A8" s="15"/>
      <c r="B8" s="26" t="s">
        <v>7</v>
      </c>
      <c r="C8" s="116" t="s">
        <v>133</v>
      </c>
      <c r="D8" s="117"/>
      <c r="E8" s="117"/>
      <c r="F8" s="117"/>
      <c r="G8" s="117"/>
      <c r="H8" s="40" t="s">
        <v>6</v>
      </c>
      <c r="I8" s="52" t="s">
        <v>132</v>
      </c>
      <c r="J8" s="27" t="s">
        <v>3</v>
      </c>
    </row>
    <row r="9" spans="1:12" s="2" customFormat="1" ht="15" customHeight="1">
      <c r="A9" s="14"/>
      <c r="B9" s="101">
        <v>45558</v>
      </c>
      <c r="C9" s="104" t="s">
        <v>8</v>
      </c>
      <c r="D9" s="105"/>
      <c r="E9" s="105"/>
      <c r="F9" s="105"/>
      <c r="G9" s="105"/>
      <c r="H9" s="39" t="s">
        <v>325</v>
      </c>
      <c r="I9" s="39"/>
      <c r="J9" s="39" t="s">
        <v>109</v>
      </c>
    </row>
    <row r="10" spans="1:12" s="2" customFormat="1" ht="15" customHeight="1">
      <c r="A10" s="14"/>
      <c r="B10" s="101">
        <v>45565</v>
      </c>
      <c r="C10" s="104" t="s">
        <v>326</v>
      </c>
      <c r="D10" s="105"/>
      <c r="E10" s="105"/>
      <c r="F10" s="105"/>
      <c r="G10" s="105"/>
      <c r="H10" s="39" t="s">
        <v>327</v>
      </c>
      <c r="I10" s="39"/>
      <c r="J10" s="39" t="s">
        <v>340</v>
      </c>
    </row>
    <row r="11" spans="1:12" s="2" customFormat="1" ht="15" customHeight="1">
      <c r="A11" s="14"/>
      <c r="B11" s="101">
        <v>45636</v>
      </c>
      <c r="C11" s="104" t="s">
        <v>328</v>
      </c>
      <c r="D11" s="105"/>
      <c r="E11" s="105"/>
      <c r="F11" s="105"/>
      <c r="G11" s="105"/>
      <c r="H11" s="39" t="s">
        <v>325</v>
      </c>
      <c r="I11" s="39"/>
      <c r="J11" s="39" t="s">
        <v>341</v>
      </c>
    </row>
    <row r="12" spans="1:12" s="2" customFormat="1" ht="15" customHeight="1">
      <c r="A12" s="14"/>
      <c r="B12" s="101">
        <v>45639</v>
      </c>
      <c r="C12" s="104" t="s">
        <v>329</v>
      </c>
      <c r="D12" s="105"/>
      <c r="E12" s="105"/>
      <c r="F12" s="105"/>
      <c r="G12" s="105"/>
      <c r="H12" s="39" t="s">
        <v>325</v>
      </c>
      <c r="I12" s="39"/>
      <c r="J12" s="39" t="s">
        <v>342</v>
      </c>
    </row>
    <row r="13" spans="1:12" s="2" customFormat="1" ht="14.25" customHeight="1">
      <c r="A13" s="14"/>
      <c r="B13" s="101">
        <v>45646</v>
      </c>
      <c r="C13" s="104" t="s">
        <v>330</v>
      </c>
      <c r="D13" s="105"/>
      <c r="E13" s="105"/>
      <c r="F13" s="105"/>
      <c r="G13" s="105"/>
      <c r="H13" s="39" t="s">
        <v>325</v>
      </c>
      <c r="I13" s="39"/>
      <c r="J13" s="39" t="s">
        <v>343</v>
      </c>
    </row>
    <row r="14" spans="1:12" s="2" customFormat="1" ht="14.25" customHeight="1">
      <c r="A14" s="14"/>
      <c r="B14" s="101">
        <v>45656</v>
      </c>
      <c r="C14" s="104" t="s">
        <v>331</v>
      </c>
      <c r="D14" s="105"/>
      <c r="E14" s="105"/>
      <c r="F14" s="105"/>
      <c r="G14" s="105"/>
      <c r="H14" s="39" t="s">
        <v>325</v>
      </c>
      <c r="I14" s="39"/>
      <c r="J14" s="39" t="s">
        <v>344</v>
      </c>
    </row>
    <row r="15" spans="1:12" s="2" customFormat="1" ht="14.25" customHeight="1">
      <c r="A15" s="14"/>
      <c r="B15" s="101">
        <v>45667</v>
      </c>
      <c r="C15" s="104" t="s">
        <v>332</v>
      </c>
      <c r="D15" s="105"/>
      <c r="E15" s="105"/>
      <c r="F15" s="105"/>
      <c r="G15" s="105"/>
      <c r="H15" s="39" t="s">
        <v>325</v>
      </c>
      <c r="I15" s="39"/>
      <c r="J15" s="39" t="s">
        <v>345</v>
      </c>
    </row>
    <row r="16" spans="1:12" s="2" customFormat="1" ht="14.25" customHeight="1">
      <c r="A16" s="14"/>
      <c r="B16" s="101">
        <v>45698</v>
      </c>
      <c r="C16" s="104" t="s">
        <v>333</v>
      </c>
      <c r="D16" s="105"/>
      <c r="E16" s="105"/>
      <c r="F16" s="105"/>
      <c r="G16" s="105"/>
      <c r="H16" s="39" t="s">
        <v>325</v>
      </c>
      <c r="I16" s="39"/>
      <c r="J16" s="39" t="s">
        <v>346</v>
      </c>
    </row>
    <row r="17" spans="1:11" s="2" customFormat="1" ht="14.25" customHeight="1">
      <c r="A17" s="14"/>
      <c r="B17" s="101">
        <v>45726</v>
      </c>
      <c r="C17" s="104" t="s">
        <v>333</v>
      </c>
      <c r="D17" s="104"/>
      <c r="E17" s="104"/>
      <c r="F17" s="104"/>
      <c r="G17" s="104"/>
      <c r="H17" s="39" t="s">
        <v>325</v>
      </c>
      <c r="I17" s="39"/>
      <c r="J17" s="39" t="s">
        <v>347</v>
      </c>
    </row>
    <row r="18" spans="1:11" s="2" customFormat="1" ht="14.25" customHeight="1">
      <c r="A18" s="14"/>
      <c r="B18" s="101">
        <v>45727</v>
      </c>
      <c r="C18" s="104" t="s">
        <v>333</v>
      </c>
      <c r="D18" s="104"/>
      <c r="E18" s="104"/>
      <c r="F18" s="104"/>
      <c r="G18" s="104"/>
      <c r="H18" s="39" t="s">
        <v>325</v>
      </c>
      <c r="I18" s="39"/>
      <c r="J18" s="39" t="s">
        <v>348</v>
      </c>
    </row>
    <row r="19" spans="1:11" s="2" customFormat="1" ht="14.25" customHeight="1">
      <c r="A19" s="14"/>
      <c r="B19" s="101">
        <v>45741</v>
      </c>
      <c r="C19" s="104" t="s">
        <v>333</v>
      </c>
      <c r="D19" s="104"/>
      <c r="E19" s="104"/>
      <c r="F19" s="104"/>
      <c r="G19" s="104"/>
      <c r="H19" s="39" t="s">
        <v>325</v>
      </c>
      <c r="I19" s="39"/>
      <c r="J19" s="39" t="s">
        <v>349</v>
      </c>
    </row>
    <row r="20" spans="1:11" s="2" customFormat="1" ht="14.25" customHeight="1">
      <c r="A20" s="14"/>
      <c r="B20" s="101">
        <v>45749</v>
      </c>
      <c r="C20" s="104" t="s">
        <v>334</v>
      </c>
      <c r="D20" s="105"/>
      <c r="E20" s="105"/>
      <c r="F20" s="105"/>
      <c r="G20" s="105"/>
      <c r="H20" s="39" t="s">
        <v>357</v>
      </c>
      <c r="I20" s="39" t="s">
        <v>358</v>
      </c>
      <c r="J20" s="39" t="s">
        <v>350</v>
      </c>
    </row>
    <row r="21" spans="1:11" s="2" customFormat="1" ht="107" customHeight="1">
      <c r="A21" s="14"/>
      <c r="B21" s="101">
        <v>45915</v>
      </c>
      <c r="C21" s="102" t="s">
        <v>335</v>
      </c>
      <c r="D21" s="103"/>
      <c r="E21" s="103"/>
      <c r="F21" s="103"/>
      <c r="G21" s="103"/>
      <c r="H21" s="39" t="s">
        <v>357</v>
      </c>
      <c r="I21" s="39" t="s">
        <v>358</v>
      </c>
      <c r="J21" s="39" t="s">
        <v>351</v>
      </c>
    </row>
    <row r="22" spans="1:11" s="2" customFormat="1" ht="54.5" customHeight="1">
      <c r="A22" s="14"/>
      <c r="B22" s="101">
        <v>45919</v>
      </c>
      <c r="C22" s="102" t="s">
        <v>336</v>
      </c>
      <c r="D22" s="103"/>
      <c r="E22" s="103"/>
      <c r="F22" s="103"/>
      <c r="G22" s="103"/>
      <c r="H22" s="39" t="s">
        <v>357</v>
      </c>
      <c r="I22" s="39" t="s">
        <v>358</v>
      </c>
      <c r="J22" s="39" t="s">
        <v>352</v>
      </c>
      <c r="K22" s="3"/>
    </row>
    <row r="23" spans="1:11" s="2" customFormat="1" ht="15" customHeight="1">
      <c r="A23" s="14"/>
      <c r="B23" s="101">
        <v>45939</v>
      </c>
      <c r="C23" s="102" t="s">
        <v>337</v>
      </c>
      <c r="D23" s="103"/>
      <c r="E23" s="103"/>
      <c r="F23" s="103"/>
      <c r="G23" s="103"/>
      <c r="H23" s="39" t="s">
        <v>357</v>
      </c>
      <c r="I23" s="39" t="s">
        <v>358</v>
      </c>
      <c r="J23" s="39" t="s">
        <v>353</v>
      </c>
      <c r="K23" s="3"/>
    </row>
    <row r="24" spans="1:11" s="2" customFormat="1" ht="15" customHeight="1">
      <c r="A24" s="14"/>
      <c r="B24" s="101">
        <v>45978</v>
      </c>
      <c r="C24" s="102" t="s">
        <v>338</v>
      </c>
      <c r="D24" s="103"/>
      <c r="E24" s="103"/>
      <c r="F24" s="103"/>
      <c r="G24" s="103"/>
      <c r="H24" s="39" t="s">
        <v>357</v>
      </c>
      <c r="I24" s="39" t="s">
        <v>358</v>
      </c>
      <c r="J24" s="39" t="s">
        <v>354</v>
      </c>
      <c r="K24" s="3"/>
    </row>
    <row r="25" spans="1:11" s="2" customFormat="1" ht="15" customHeight="1">
      <c r="A25" s="14"/>
      <c r="B25" s="101">
        <v>45981</v>
      </c>
      <c r="C25" s="102" t="s">
        <v>339</v>
      </c>
      <c r="D25" s="103"/>
      <c r="E25" s="103"/>
      <c r="F25" s="103"/>
      <c r="G25" s="103"/>
      <c r="H25" s="39" t="s">
        <v>357</v>
      </c>
      <c r="I25" s="39" t="s">
        <v>358</v>
      </c>
      <c r="J25" s="39" t="s">
        <v>355</v>
      </c>
      <c r="K25" s="3"/>
    </row>
    <row r="26" spans="1:11" s="2" customFormat="1" ht="65.5" customHeight="1">
      <c r="A26" s="14"/>
      <c r="B26" s="101">
        <v>46006</v>
      </c>
      <c r="C26" s="102" t="s">
        <v>362</v>
      </c>
      <c r="D26" s="103"/>
      <c r="E26" s="103"/>
      <c r="F26" s="103"/>
      <c r="G26" s="103"/>
      <c r="H26" s="39" t="s">
        <v>357</v>
      </c>
      <c r="I26" s="39" t="s">
        <v>358</v>
      </c>
      <c r="J26" s="39" t="s">
        <v>356</v>
      </c>
      <c r="K26" s="3"/>
    </row>
    <row r="27" spans="1:11" s="2" customFormat="1" ht="15" customHeight="1">
      <c r="A27" s="14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s="2" customFormat="1" ht="15" customHeight="1">
      <c r="A28" s="14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s="2" customFormat="1" ht="15" customHeight="1">
      <c r="A29" s="14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s="2" customFormat="1" ht="15" customHeight="1">
      <c r="A30" s="14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s="2" customFormat="1" ht="15" customHeight="1">
      <c r="A31" s="14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s="2" customFormat="1" ht="15" customHeight="1">
      <c r="A32" s="14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s="2" customFormat="1" ht="15" customHeight="1">
      <c r="A33" s="14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s="2" customFormat="1" ht="15" customHeight="1">
      <c r="A34" s="14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s="2" customFormat="1" ht="15" customHeight="1">
      <c r="A35" s="14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s="2" customFormat="1" ht="15" customHeight="1">
      <c r="A36" s="14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s="2" customFormat="1" ht="15" customHeight="1">
      <c r="A37" s="14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s="2" customFormat="1" ht="15" customHeight="1">
      <c r="A38" s="14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5" customHeight="1">
      <c r="B39" s="21"/>
      <c r="C39" s="21"/>
      <c r="D39" s="21"/>
      <c r="E39" s="21"/>
      <c r="F39" s="21"/>
      <c r="G39" s="21"/>
      <c r="H39" s="21"/>
      <c r="I39" s="21"/>
      <c r="J39" s="21"/>
      <c r="K39" s="21"/>
    </row>
    <row r="40" spans="1:11" ht="15" customHeight="1">
      <c r="B40" s="21"/>
      <c r="C40" s="21"/>
      <c r="D40" s="21"/>
      <c r="E40" s="21"/>
      <c r="F40" s="21"/>
      <c r="G40" s="21"/>
      <c r="H40" s="21"/>
      <c r="I40" s="21"/>
      <c r="J40" s="21"/>
      <c r="K40" s="21"/>
    </row>
    <row r="41" spans="1:11" ht="15" customHeight="1">
      <c r="B41" s="21"/>
      <c r="C41" s="21"/>
      <c r="D41" s="21"/>
      <c r="E41" s="21"/>
      <c r="F41" s="21"/>
      <c r="G41" s="21"/>
      <c r="H41" s="21"/>
      <c r="I41" s="21"/>
      <c r="J41" s="21"/>
      <c r="K41" s="21"/>
    </row>
    <row r="42" spans="1:11" ht="15" customHeight="1">
      <c r="B42" s="21"/>
      <c r="C42" s="21"/>
      <c r="D42" s="21"/>
      <c r="E42" s="21"/>
      <c r="F42" s="21"/>
      <c r="G42" s="21"/>
      <c r="H42" s="21"/>
      <c r="I42" s="21"/>
      <c r="J42" s="21"/>
      <c r="K42" s="21"/>
    </row>
    <row r="43" spans="1:11" ht="15" customHeight="1">
      <c r="B43" s="21"/>
      <c r="C43" s="21"/>
      <c r="D43" s="21"/>
      <c r="E43" s="21"/>
      <c r="F43" s="21"/>
      <c r="G43" s="21"/>
      <c r="H43" s="21"/>
      <c r="I43" s="21"/>
      <c r="J43" s="21"/>
      <c r="K43" s="21"/>
    </row>
    <row r="44" spans="1:11" ht="15" customHeight="1"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1" ht="15" customHeight="1"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1:11" ht="15" customHeight="1"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15" customHeight="1"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spans="1:11" ht="15" customHeight="1"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2:11" ht="15" customHeight="1"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spans="2:11" ht="15" customHeight="1"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spans="2:11" ht="15" customHeight="1">
      <c r="B51" s="21"/>
      <c r="C51" s="21"/>
      <c r="D51" s="21"/>
      <c r="E51" s="21"/>
      <c r="F51" s="21"/>
      <c r="G51" s="21"/>
      <c r="H51" s="21"/>
      <c r="I51" s="21"/>
      <c r="J51" s="21"/>
      <c r="K51" s="21"/>
    </row>
    <row r="52" spans="2:11" ht="15" customHeight="1"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2:11" ht="15" customHeight="1"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2:11" ht="15" customHeight="1"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2:11" ht="15" customHeight="1"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2:11" ht="15" customHeight="1"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2:11" ht="15" customHeight="1"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2:11" ht="15" customHeight="1"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pans="2:11" ht="15" customHeight="1"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pans="2:11" ht="15" customHeight="1">
      <c r="B60" s="21"/>
      <c r="C60" s="21"/>
      <c r="D60" s="21"/>
      <c r="E60" s="21"/>
      <c r="F60" s="21"/>
      <c r="G60" s="21"/>
      <c r="H60" s="21"/>
      <c r="I60" s="21"/>
      <c r="J60" s="21"/>
      <c r="K60" s="21"/>
    </row>
    <row r="61" spans="2:11" ht="15" customHeight="1">
      <c r="B61" s="21"/>
      <c r="C61" s="21"/>
      <c r="D61" s="21"/>
      <c r="E61" s="21"/>
      <c r="F61" s="21"/>
      <c r="G61" s="21"/>
      <c r="H61" s="21"/>
      <c r="I61" s="21"/>
      <c r="J61" s="21"/>
      <c r="K61" s="21"/>
    </row>
    <row r="62" spans="2:11" ht="15" customHeight="1">
      <c r="B62" s="21"/>
      <c r="C62" s="21"/>
      <c r="D62" s="21"/>
      <c r="E62" s="21"/>
      <c r="F62" s="21"/>
      <c r="G62" s="21"/>
      <c r="H62" s="21"/>
      <c r="I62" s="21"/>
      <c r="J62" s="21"/>
      <c r="K62" s="21"/>
    </row>
    <row r="63" spans="2:11" ht="15" customHeight="1">
      <c r="B63" s="21"/>
      <c r="C63" s="21"/>
      <c r="D63" s="21"/>
      <c r="E63" s="21"/>
      <c r="F63" s="21"/>
      <c r="G63" s="21"/>
      <c r="H63" s="21"/>
      <c r="I63" s="21"/>
      <c r="J63" s="21"/>
      <c r="K63" s="21"/>
    </row>
    <row r="64" spans="2:11" ht="15" customHeight="1">
      <c r="B64" s="21"/>
      <c r="C64" s="21"/>
      <c r="D64" s="21"/>
      <c r="E64" s="21"/>
      <c r="F64" s="21"/>
      <c r="G64" s="21"/>
      <c r="H64" s="21"/>
      <c r="I64" s="21"/>
      <c r="J64" s="21"/>
      <c r="K64" s="21"/>
    </row>
    <row r="65" spans="2:11" ht="15" customHeight="1">
      <c r="B65" s="21"/>
      <c r="C65" s="21"/>
      <c r="D65" s="21"/>
      <c r="E65" s="21"/>
      <c r="F65" s="21"/>
      <c r="G65" s="21"/>
      <c r="H65" s="21"/>
      <c r="I65" s="21"/>
      <c r="J65" s="21"/>
      <c r="K65" s="21"/>
    </row>
    <row r="66" spans="2:11" ht="15" customHeight="1">
      <c r="B66" s="21"/>
      <c r="C66" s="21"/>
      <c r="D66" s="21"/>
      <c r="E66" s="21"/>
      <c r="F66" s="21"/>
      <c r="G66" s="21"/>
      <c r="H66" s="21"/>
      <c r="I66" s="21"/>
      <c r="J66" s="21"/>
      <c r="K66" s="21"/>
    </row>
    <row r="67" spans="2:11" ht="15" customHeight="1">
      <c r="B67" s="21"/>
      <c r="C67" s="21"/>
      <c r="D67" s="21"/>
      <c r="E67" s="21"/>
      <c r="F67" s="21"/>
      <c r="G67" s="21"/>
      <c r="H67" s="21"/>
      <c r="I67" s="21"/>
      <c r="J67" s="21"/>
      <c r="K67" s="21"/>
    </row>
    <row r="68" spans="2:11" ht="15" customHeight="1">
      <c r="B68" s="21"/>
      <c r="C68" s="21"/>
      <c r="D68" s="21"/>
      <c r="E68" s="21"/>
      <c r="F68" s="21"/>
      <c r="G68" s="21"/>
      <c r="H68" s="21"/>
      <c r="I68" s="21"/>
      <c r="J68" s="21"/>
      <c r="K68" s="21"/>
    </row>
    <row r="69" spans="2:11" ht="15" customHeight="1">
      <c r="B69" s="21"/>
      <c r="C69" s="21"/>
      <c r="D69" s="21"/>
      <c r="E69" s="21"/>
      <c r="F69" s="21"/>
      <c r="G69" s="21"/>
      <c r="H69" s="21"/>
      <c r="I69" s="21"/>
      <c r="J69" s="21"/>
      <c r="K69" s="21"/>
    </row>
    <row r="70" spans="2:11" ht="15" customHeight="1">
      <c r="B70" s="21"/>
      <c r="C70" s="21"/>
      <c r="D70" s="21"/>
      <c r="E70" s="21"/>
      <c r="F70" s="21"/>
      <c r="G70" s="21"/>
      <c r="H70" s="21"/>
      <c r="I70" s="21"/>
      <c r="J70" s="21"/>
      <c r="K70" s="21"/>
    </row>
    <row r="71" spans="2:11" ht="15" customHeight="1">
      <c r="B71" s="21"/>
      <c r="C71" s="21"/>
      <c r="D71" s="21"/>
      <c r="E71" s="21"/>
      <c r="F71" s="21"/>
      <c r="G71" s="21"/>
      <c r="H71" s="21"/>
      <c r="I71" s="21"/>
      <c r="J71" s="21"/>
      <c r="K71" s="21"/>
    </row>
    <row r="72" spans="2:11" ht="15" customHeight="1"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2:11" ht="15" customHeight="1"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2:11" ht="15" customHeight="1"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2:11" ht="15" customHeight="1"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2:11" ht="15" customHeight="1"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2:11" ht="15" customHeight="1"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2:11" ht="15" customHeight="1"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pans="2:11" ht="15" customHeight="1">
      <c r="B79" s="21"/>
      <c r="C79" s="21"/>
      <c r="D79" s="21"/>
      <c r="E79" s="21"/>
      <c r="F79" s="21"/>
      <c r="G79" s="21"/>
      <c r="H79" s="21"/>
      <c r="I79" s="21"/>
      <c r="J79" s="21"/>
      <c r="K79" s="21"/>
    </row>
    <row r="80" spans="2:11" ht="15" customHeight="1">
      <c r="B80" s="21"/>
      <c r="C80" s="21"/>
      <c r="D80" s="21"/>
      <c r="E80" s="21"/>
      <c r="F80" s="21"/>
      <c r="G80" s="21"/>
      <c r="H80" s="21"/>
      <c r="I80" s="21"/>
      <c r="J80" s="21"/>
      <c r="K80" s="21"/>
    </row>
    <row r="81" spans="2:11" ht="15" customHeight="1">
      <c r="B81" s="21"/>
      <c r="C81" s="21"/>
      <c r="D81" s="21"/>
      <c r="E81" s="21"/>
      <c r="F81" s="21"/>
      <c r="G81" s="21"/>
      <c r="H81" s="21"/>
      <c r="I81" s="21"/>
      <c r="J81" s="21"/>
      <c r="K81" s="21"/>
    </row>
    <row r="82" spans="2:11" ht="15" customHeight="1">
      <c r="B82" s="21"/>
      <c r="C82" s="21"/>
      <c r="D82" s="21"/>
      <c r="E82" s="21"/>
      <c r="F82" s="21"/>
      <c r="G82" s="21"/>
      <c r="H82" s="21"/>
      <c r="I82" s="21"/>
      <c r="J82" s="21"/>
      <c r="K82" s="21"/>
    </row>
    <row r="83" spans="2:11" ht="15" customHeight="1">
      <c r="B83" s="21"/>
      <c r="C83" s="21"/>
      <c r="D83" s="21"/>
      <c r="E83" s="21"/>
      <c r="F83" s="21"/>
      <c r="G83" s="21"/>
      <c r="H83" s="21"/>
      <c r="I83" s="21"/>
      <c r="J83" s="21"/>
      <c r="K83" s="21"/>
    </row>
    <row r="84" spans="2:11" ht="15" customHeight="1">
      <c r="B84" s="21"/>
      <c r="C84" s="21"/>
      <c r="D84" s="21"/>
      <c r="E84" s="21"/>
      <c r="F84" s="21"/>
      <c r="G84" s="21"/>
      <c r="H84" s="21"/>
      <c r="I84" s="21"/>
      <c r="J84" s="21"/>
      <c r="K84" s="21"/>
    </row>
    <row r="85" spans="2:11" ht="15" customHeight="1">
      <c r="B85" s="21"/>
      <c r="C85" s="21"/>
      <c r="D85" s="21"/>
      <c r="E85" s="21"/>
      <c r="F85" s="21"/>
      <c r="G85" s="21"/>
      <c r="H85" s="21"/>
      <c r="I85" s="21"/>
      <c r="J85" s="21"/>
      <c r="K85" s="21"/>
    </row>
    <row r="86" spans="2:11" ht="15" customHeight="1">
      <c r="B86" s="21"/>
      <c r="C86" s="21"/>
      <c r="D86" s="21"/>
      <c r="E86" s="21"/>
      <c r="F86" s="21"/>
      <c r="G86" s="21"/>
      <c r="H86" s="21"/>
      <c r="I86" s="21"/>
      <c r="J86" s="21"/>
      <c r="K86" s="21"/>
    </row>
    <row r="87" spans="2:11" ht="15" customHeight="1">
      <c r="B87" s="21"/>
      <c r="C87" s="21"/>
      <c r="D87" s="21"/>
      <c r="E87" s="21"/>
      <c r="F87" s="21"/>
      <c r="G87" s="21"/>
      <c r="H87" s="21"/>
      <c r="I87" s="21"/>
      <c r="J87" s="21"/>
      <c r="K87" s="21"/>
    </row>
    <row r="88" spans="2:11" ht="15" customHeight="1">
      <c r="B88" s="21"/>
      <c r="C88" s="21"/>
      <c r="D88" s="21"/>
      <c r="E88" s="21"/>
      <c r="F88" s="21"/>
      <c r="G88" s="21"/>
      <c r="H88" s="21"/>
      <c r="I88" s="21"/>
      <c r="J88" s="21"/>
      <c r="K88" s="21"/>
    </row>
    <row r="89" spans="2:11" ht="15" customHeight="1">
      <c r="B89" s="21"/>
      <c r="C89" s="21"/>
      <c r="D89" s="21"/>
      <c r="E89" s="21"/>
      <c r="F89" s="21"/>
      <c r="G89" s="21"/>
      <c r="H89" s="21"/>
      <c r="I89" s="21"/>
      <c r="J89" s="21"/>
      <c r="K89" s="21"/>
    </row>
    <row r="90" spans="2:11" ht="15" customHeight="1">
      <c r="B90" s="21"/>
      <c r="C90" s="21"/>
      <c r="D90" s="21"/>
      <c r="E90" s="21"/>
      <c r="F90" s="21"/>
      <c r="G90" s="21"/>
      <c r="H90" s="21"/>
      <c r="I90" s="21"/>
      <c r="J90" s="21"/>
      <c r="K90" s="21"/>
    </row>
    <row r="91" spans="2:11" ht="15" customHeight="1">
      <c r="B91" s="21"/>
      <c r="C91" s="21"/>
      <c r="D91" s="21"/>
      <c r="E91" s="21"/>
      <c r="F91" s="21"/>
      <c r="G91" s="21"/>
      <c r="H91" s="21"/>
      <c r="I91" s="21"/>
      <c r="J91" s="21"/>
      <c r="K91" s="21"/>
    </row>
    <row r="92" spans="2:11" ht="15" customHeight="1">
      <c r="B92" s="21"/>
      <c r="C92" s="21"/>
      <c r="D92" s="21"/>
      <c r="E92" s="21"/>
      <c r="F92" s="21"/>
      <c r="G92" s="21"/>
      <c r="H92" s="21"/>
      <c r="I92" s="21"/>
      <c r="J92" s="21"/>
      <c r="K92" s="21"/>
    </row>
    <row r="93" spans="2:11" ht="15" customHeight="1">
      <c r="B93" s="21"/>
      <c r="C93" s="21"/>
      <c r="D93" s="21"/>
      <c r="E93" s="21"/>
      <c r="F93" s="21"/>
      <c r="G93" s="21"/>
      <c r="H93" s="21"/>
      <c r="I93" s="21"/>
      <c r="J93" s="21"/>
      <c r="K93" s="21"/>
    </row>
    <row r="94" spans="2:11" ht="15" customHeight="1">
      <c r="B94" s="21"/>
      <c r="C94" s="21"/>
      <c r="D94" s="21"/>
      <c r="E94" s="21"/>
      <c r="F94" s="21"/>
      <c r="G94" s="21"/>
      <c r="H94" s="21"/>
      <c r="I94" s="21"/>
      <c r="J94" s="21"/>
      <c r="K94" s="21"/>
    </row>
    <row r="95" spans="2:11" ht="15" customHeight="1">
      <c r="B95" s="21"/>
      <c r="C95" s="21"/>
      <c r="D95" s="21"/>
      <c r="E95" s="21"/>
      <c r="F95" s="21"/>
      <c r="G95" s="21"/>
      <c r="H95" s="21"/>
      <c r="I95" s="21"/>
      <c r="J95" s="21"/>
      <c r="K95" s="21"/>
    </row>
    <row r="96" spans="2:11" ht="15" customHeight="1">
      <c r="B96" s="21"/>
      <c r="C96" s="21"/>
      <c r="D96" s="21"/>
      <c r="E96" s="21"/>
      <c r="F96" s="21"/>
      <c r="G96" s="21"/>
      <c r="H96" s="21"/>
      <c r="I96" s="21"/>
      <c r="J96" s="21"/>
      <c r="K96" s="21"/>
    </row>
    <row r="97" spans="2:11" ht="15" customHeight="1">
      <c r="B97" s="21"/>
      <c r="C97" s="21"/>
      <c r="D97" s="21"/>
      <c r="E97" s="21"/>
      <c r="F97" s="21"/>
      <c r="G97" s="21"/>
      <c r="H97" s="21"/>
      <c r="I97" s="21"/>
      <c r="J97" s="21"/>
      <c r="K97" s="21"/>
    </row>
    <row r="98" spans="2:11" ht="15" customHeight="1">
      <c r="B98" s="21"/>
      <c r="C98" s="21"/>
      <c r="D98" s="21"/>
      <c r="E98" s="21"/>
      <c r="F98" s="21"/>
      <c r="G98" s="21"/>
      <c r="H98" s="21"/>
      <c r="I98" s="21"/>
      <c r="J98" s="21"/>
      <c r="K98" s="21"/>
    </row>
    <row r="99" spans="2:11" ht="15" customHeight="1">
      <c r="C99" s="21"/>
      <c r="D99" s="21"/>
      <c r="E99" s="21"/>
      <c r="F99" s="21"/>
      <c r="G99" s="21"/>
      <c r="H99" s="21"/>
      <c r="I99" s="21"/>
      <c r="J99" s="21"/>
      <c r="K99" s="21"/>
    </row>
    <row r="100" spans="2:11" ht="15" customHeight="1">
      <c r="C100" s="21"/>
      <c r="D100" s="21"/>
      <c r="E100" s="21"/>
      <c r="F100" s="21"/>
      <c r="G100" s="21"/>
      <c r="H100" s="21"/>
      <c r="I100" s="21"/>
      <c r="J100" s="21"/>
      <c r="K100" s="21"/>
    </row>
    <row r="101" spans="2:11" ht="15" customHeight="1">
      <c r="C101" s="21"/>
      <c r="D101" s="21"/>
      <c r="E101" s="21"/>
      <c r="F101" s="21"/>
      <c r="G101" s="21"/>
      <c r="H101" s="21"/>
      <c r="I101" s="21"/>
      <c r="J101" s="21"/>
      <c r="K101" s="21"/>
    </row>
    <row r="102" spans="2:11" ht="15" customHeight="1">
      <c r="C102" s="21"/>
      <c r="D102" s="21"/>
      <c r="E102" s="21"/>
      <c r="F102" s="21"/>
      <c r="G102" s="21"/>
      <c r="H102" s="21"/>
      <c r="I102" s="21"/>
      <c r="J102" s="21"/>
      <c r="K102" s="21"/>
    </row>
    <row r="103" spans="2:11" ht="15" customHeight="1">
      <c r="C103" s="21"/>
      <c r="D103" s="21"/>
      <c r="E103" s="21"/>
      <c r="F103" s="21"/>
      <c r="G103" s="21"/>
      <c r="H103" s="21"/>
      <c r="I103" s="21"/>
      <c r="J103" s="21"/>
      <c r="K103" s="21"/>
    </row>
    <row r="104" spans="2:11" ht="15" customHeight="1">
      <c r="C104" s="21"/>
      <c r="D104" s="21"/>
      <c r="E104" s="21"/>
      <c r="F104" s="21"/>
      <c r="G104" s="21"/>
      <c r="H104" s="21"/>
      <c r="I104" s="21"/>
      <c r="J104" s="21"/>
      <c r="K104" s="21"/>
    </row>
    <row r="105" spans="2:11" ht="15" customHeight="1">
      <c r="C105" s="21"/>
      <c r="D105" s="21"/>
      <c r="E105" s="21"/>
      <c r="F105" s="21"/>
      <c r="G105" s="21"/>
      <c r="H105" s="21"/>
      <c r="I105" s="21"/>
      <c r="J105" s="21"/>
      <c r="K105" s="21"/>
    </row>
    <row r="106" spans="2:11" ht="15" customHeight="1">
      <c r="C106" s="21"/>
      <c r="D106" s="21"/>
      <c r="E106" s="21"/>
      <c r="F106" s="21"/>
      <c r="G106" s="21"/>
      <c r="H106" s="21"/>
      <c r="I106" s="21"/>
      <c r="J106" s="21"/>
      <c r="K106" s="21"/>
    </row>
    <row r="107" spans="2:11" ht="15" customHeight="1">
      <c r="C107" s="21"/>
      <c r="D107" s="21"/>
      <c r="E107" s="21"/>
      <c r="F107" s="21"/>
      <c r="G107" s="21"/>
      <c r="H107" s="21"/>
      <c r="I107" s="21"/>
      <c r="J107" s="21"/>
      <c r="K107" s="21"/>
    </row>
    <row r="108" spans="2:11" ht="15" customHeight="1">
      <c r="C108" s="21"/>
      <c r="D108" s="21"/>
      <c r="E108" s="21"/>
      <c r="F108" s="21"/>
      <c r="G108" s="21"/>
      <c r="H108" s="21"/>
      <c r="I108" s="21"/>
      <c r="J108" s="21"/>
      <c r="K108" s="21"/>
    </row>
    <row r="109" spans="2:11" ht="15" customHeight="1">
      <c r="C109" s="21"/>
      <c r="D109" s="21"/>
      <c r="E109" s="21"/>
      <c r="F109" s="21"/>
      <c r="G109" s="21"/>
      <c r="H109" s="21"/>
      <c r="I109" s="21"/>
      <c r="J109" s="21"/>
      <c r="K109" s="21"/>
    </row>
    <row r="110" spans="2:11" ht="15" customHeight="1">
      <c r="C110" s="21"/>
      <c r="D110" s="21"/>
      <c r="E110" s="21"/>
      <c r="F110" s="21"/>
      <c r="G110" s="21"/>
      <c r="H110" s="21"/>
      <c r="I110" s="21"/>
      <c r="J110" s="21"/>
      <c r="K110" s="21"/>
    </row>
    <row r="111" spans="2:11" ht="15" customHeight="1">
      <c r="C111" s="21"/>
      <c r="D111" s="21"/>
      <c r="E111" s="21"/>
      <c r="F111" s="21"/>
      <c r="G111" s="21"/>
      <c r="H111" s="21"/>
      <c r="I111" s="21"/>
      <c r="J111" s="21"/>
      <c r="K111" s="21"/>
    </row>
    <row r="112" spans="2:11" ht="15" customHeight="1">
      <c r="C112" s="21"/>
      <c r="D112" s="21"/>
      <c r="E112" s="21"/>
      <c r="F112" s="21"/>
      <c r="G112" s="21"/>
      <c r="H112" s="21"/>
      <c r="I112" s="21"/>
      <c r="J112" s="21"/>
      <c r="K112" s="21"/>
    </row>
    <row r="113" spans="3:11" ht="15" customHeight="1">
      <c r="C113" s="21"/>
      <c r="D113" s="21"/>
      <c r="E113" s="21"/>
      <c r="F113" s="21"/>
      <c r="G113" s="21"/>
      <c r="H113" s="21"/>
      <c r="I113" s="21"/>
      <c r="J113" s="21"/>
      <c r="K113" s="21"/>
    </row>
    <row r="114" spans="3:11" ht="15" customHeight="1">
      <c r="C114" s="21"/>
      <c r="D114" s="21"/>
      <c r="E114" s="21"/>
      <c r="F114" s="21"/>
      <c r="G114" s="21"/>
      <c r="H114" s="21"/>
      <c r="I114" s="21"/>
      <c r="J114" s="21"/>
      <c r="K114" s="21"/>
    </row>
    <row r="115" spans="3:11" ht="15" customHeight="1">
      <c r="C115" s="21"/>
      <c r="D115" s="21"/>
      <c r="E115" s="21"/>
      <c r="F115" s="21"/>
      <c r="G115" s="21"/>
      <c r="H115" s="21"/>
      <c r="I115" s="21"/>
      <c r="J115" s="21"/>
      <c r="K115" s="21"/>
    </row>
    <row r="116" spans="3:11" ht="15" customHeight="1">
      <c r="C116" s="21"/>
      <c r="D116" s="21"/>
      <c r="E116" s="21"/>
      <c r="F116" s="21"/>
      <c r="G116" s="21"/>
      <c r="H116" s="21"/>
      <c r="I116" s="21"/>
      <c r="J116" s="21"/>
      <c r="K116" s="21"/>
    </row>
    <row r="117" spans="3:11" ht="15" customHeight="1">
      <c r="C117" s="21"/>
      <c r="D117" s="21"/>
      <c r="E117" s="21"/>
      <c r="F117" s="21"/>
      <c r="G117" s="21"/>
      <c r="H117" s="21"/>
      <c r="I117" s="21"/>
      <c r="J117" s="21"/>
      <c r="K117" s="21"/>
    </row>
    <row r="118" spans="3:11" ht="15" customHeight="1">
      <c r="C118" s="21"/>
      <c r="D118" s="21"/>
      <c r="E118" s="21"/>
      <c r="F118" s="21"/>
      <c r="G118" s="21"/>
      <c r="H118" s="21"/>
      <c r="I118" s="21"/>
      <c r="J118" s="21"/>
      <c r="K118" s="21"/>
    </row>
    <row r="119" spans="3:11" ht="15" customHeight="1">
      <c r="C119" s="21"/>
      <c r="D119" s="21"/>
      <c r="E119" s="21"/>
      <c r="F119" s="21"/>
      <c r="G119" s="21"/>
      <c r="H119" s="21"/>
      <c r="I119" s="21"/>
      <c r="J119" s="21"/>
      <c r="K119" s="21"/>
    </row>
    <row r="120" spans="3:11" ht="15" customHeight="1">
      <c r="C120" s="21"/>
      <c r="D120" s="21"/>
      <c r="E120" s="21"/>
      <c r="F120" s="21"/>
      <c r="G120" s="21"/>
      <c r="H120" s="21"/>
      <c r="I120" s="21"/>
      <c r="J120" s="21"/>
      <c r="K120" s="21"/>
    </row>
    <row r="121" spans="3:11" ht="15" customHeight="1">
      <c r="C121" s="21"/>
      <c r="D121" s="21"/>
      <c r="E121" s="21"/>
      <c r="F121" s="21"/>
      <c r="G121" s="21"/>
      <c r="H121" s="21"/>
      <c r="I121" s="21"/>
      <c r="J121" s="21"/>
      <c r="K121" s="21"/>
    </row>
    <row r="122" spans="3:11" ht="15" customHeight="1">
      <c r="C122" s="21"/>
      <c r="D122" s="21"/>
      <c r="E122" s="21"/>
      <c r="F122" s="21"/>
      <c r="G122" s="21"/>
      <c r="H122" s="21"/>
      <c r="I122" s="21"/>
      <c r="J122" s="21"/>
      <c r="K122" s="21"/>
    </row>
    <row r="123" spans="3:11" ht="15" customHeight="1">
      <c r="C123" s="21"/>
      <c r="D123" s="21"/>
      <c r="E123" s="21"/>
      <c r="F123" s="21"/>
      <c r="G123" s="21"/>
      <c r="H123" s="21"/>
      <c r="I123" s="21"/>
      <c r="J123" s="21"/>
      <c r="K123" s="21"/>
    </row>
    <row r="124" spans="3:11" ht="15" customHeight="1">
      <c r="C124" s="21"/>
      <c r="D124" s="21"/>
      <c r="E124" s="21"/>
      <c r="F124" s="21"/>
      <c r="G124" s="21"/>
      <c r="H124" s="21"/>
      <c r="I124" s="21"/>
      <c r="J124" s="21"/>
      <c r="K124" s="21"/>
    </row>
    <row r="125" spans="3:11" ht="15" customHeight="1">
      <c r="C125" s="21"/>
      <c r="D125" s="21"/>
      <c r="E125" s="21"/>
      <c r="F125" s="21"/>
      <c r="G125" s="21"/>
      <c r="H125" s="21"/>
      <c r="I125" s="21"/>
      <c r="J125" s="21"/>
      <c r="K125" s="21"/>
    </row>
    <row r="126" spans="3:11" ht="15" customHeight="1">
      <c r="C126" s="21"/>
      <c r="D126" s="21"/>
      <c r="E126" s="21"/>
      <c r="F126" s="21"/>
      <c r="G126" s="21"/>
      <c r="H126" s="21"/>
      <c r="I126" s="21"/>
      <c r="J126" s="21"/>
      <c r="K126" s="21"/>
    </row>
    <row r="127" spans="3:11" ht="15" customHeight="1">
      <c r="C127" s="21"/>
      <c r="D127" s="21"/>
      <c r="E127" s="21"/>
      <c r="F127" s="21"/>
      <c r="G127" s="21"/>
      <c r="H127" s="21"/>
      <c r="I127" s="21"/>
      <c r="J127" s="21"/>
      <c r="K127" s="21"/>
    </row>
    <row r="128" spans="3:11" ht="15" customHeight="1">
      <c r="C128" s="21"/>
      <c r="D128" s="21"/>
      <c r="E128" s="21"/>
      <c r="F128" s="21"/>
      <c r="G128" s="21"/>
      <c r="H128" s="21"/>
      <c r="I128" s="21"/>
      <c r="J128" s="21"/>
      <c r="K128" s="21"/>
    </row>
    <row r="129" spans="3:11" ht="15" customHeight="1">
      <c r="C129" s="21"/>
      <c r="D129" s="21"/>
      <c r="E129" s="21"/>
      <c r="F129" s="21"/>
      <c r="G129" s="21"/>
      <c r="H129" s="21"/>
      <c r="I129" s="21"/>
      <c r="J129" s="21"/>
      <c r="K129" s="21"/>
    </row>
    <row r="130" spans="3:11" ht="15" customHeight="1">
      <c r="C130" s="21"/>
      <c r="D130" s="21"/>
      <c r="E130" s="21"/>
      <c r="F130" s="21"/>
      <c r="G130" s="21"/>
      <c r="H130" s="21"/>
      <c r="I130" s="21"/>
      <c r="J130" s="21"/>
      <c r="K130" s="21"/>
    </row>
    <row r="131" spans="3:11" ht="15" customHeight="1">
      <c r="C131" s="21"/>
      <c r="D131" s="21"/>
      <c r="E131" s="21"/>
      <c r="F131" s="21"/>
      <c r="G131" s="21"/>
      <c r="H131" s="21"/>
      <c r="I131" s="21"/>
      <c r="J131" s="21"/>
      <c r="K131" s="21"/>
    </row>
    <row r="132" spans="3:11" ht="15" customHeight="1">
      <c r="C132" s="21"/>
      <c r="D132" s="21"/>
      <c r="E132" s="21"/>
      <c r="F132" s="21"/>
      <c r="G132" s="21"/>
      <c r="H132" s="21"/>
      <c r="I132" s="21"/>
      <c r="J132" s="21"/>
      <c r="K132" s="21"/>
    </row>
    <row r="133" spans="3:11" ht="15" customHeight="1">
      <c r="C133" s="21"/>
      <c r="D133" s="21"/>
      <c r="E133" s="21"/>
      <c r="F133" s="21"/>
      <c r="G133" s="21"/>
      <c r="H133" s="21"/>
      <c r="I133" s="21"/>
      <c r="J133" s="21"/>
      <c r="K133" s="21"/>
    </row>
    <row r="134" spans="3:11" ht="15" customHeight="1">
      <c r="C134" s="21"/>
      <c r="D134" s="21"/>
      <c r="E134" s="21"/>
      <c r="F134" s="21"/>
      <c r="G134" s="21"/>
      <c r="H134" s="21"/>
      <c r="I134" s="21"/>
      <c r="J134" s="21"/>
      <c r="K134" s="21"/>
    </row>
    <row r="135" spans="3:11" ht="15" customHeight="1">
      <c r="C135" s="21"/>
      <c r="D135" s="21"/>
      <c r="E135" s="21"/>
      <c r="F135" s="21"/>
      <c r="G135" s="21"/>
      <c r="H135" s="21"/>
      <c r="I135" s="21"/>
      <c r="J135" s="21"/>
      <c r="K135" s="21"/>
    </row>
    <row r="136" spans="3:11" ht="15" customHeight="1">
      <c r="C136" s="21"/>
      <c r="D136" s="21"/>
      <c r="E136" s="21"/>
      <c r="F136" s="21"/>
      <c r="G136" s="21"/>
      <c r="H136" s="21"/>
      <c r="I136" s="21"/>
      <c r="J136" s="21"/>
      <c r="K136" s="21"/>
    </row>
    <row r="137" spans="3:11" ht="15" customHeight="1">
      <c r="C137" s="21"/>
      <c r="D137" s="21"/>
      <c r="E137" s="21"/>
      <c r="F137" s="21"/>
      <c r="G137" s="21"/>
      <c r="H137" s="21"/>
      <c r="I137" s="21"/>
      <c r="J137" s="21"/>
      <c r="K137" s="21"/>
    </row>
    <row r="138" spans="3:11">
      <c r="C138" s="21"/>
      <c r="D138" s="21"/>
      <c r="E138" s="21"/>
      <c r="F138" s="21"/>
      <c r="G138" s="21"/>
      <c r="H138" s="21"/>
      <c r="I138" s="21"/>
      <c r="J138" s="21"/>
      <c r="K138" s="21"/>
    </row>
    <row r="139" spans="3:11">
      <c r="C139" s="21"/>
      <c r="D139" s="21"/>
      <c r="E139" s="21"/>
      <c r="F139" s="21"/>
      <c r="G139" s="21"/>
      <c r="H139" s="21"/>
      <c r="I139" s="21"/>
      <c r="J139" s="21"/>
      <c r="K139" s="21"/>
    </row>
    <row r="140" spans="3:11">
      <c r="C140" s="21"/>
      <c r="D140" s="21"/>
      <c r="E140" s="21"/>
      <c r="F140" s="21"/>
      <c r="G140" s="21"/>
      <c r="H140" s="21"/>
      <c r="I140" s="21"/>
      <c r="J140" s="21"/>
      <c r="K140" s="21"/>
    </row>
    <row r="141" spans="3:11">
      <c r="C141" s="21"/>
      <c r="D141" s="21"/>
      <c r="E141" s="21"/>
      <c r="F141" s="21"/>
      <c r="G141" s="21"/>
      <c r="H141" s="21"/>
      <c r="I141" s="21"/>
      <c r="J141" s="21"/>
      <c r="K141" s="21"/>
    </row>
    <row r="142" spans="3:11">
      <c r="C142" s="21"/>
      <c r="D142" s="21"/>
      <c r="E142" s="21"/>
      <c r="F142" s="21"/>
      <c r="G142" s="21"/>
      <c r="H142" s="21"/>
      <c r="I142" s="21"/>
      <c r="J142" s="21"/>
      <c r="K142" s="21"/>
    </row>
    <row r="143" spans="3:11">
      <c r="C143" s="21"/>
      <c r="D143" s="21"/>
      <c r="E143" s="21"/>
      <c r="F143" s="21"/>
      <c r="G143" s="21"/>
      <c r="H143" s="21"/>
      <c r="I143" s="21"/>
      <c r="J143" s="21"/>
      <c r="K143" s="21"/>
    </row>
    <row r="144" spans="3:11">
      <c r="C144" s="21"/>
      <c r="D144" s="21"/>
      <c r="E144" s="21"/>
      <c r="F144" s="21"/>
      <c r="G144" s="21"/>
      <c r="H144" s="21"/>
      <c r="I144" s="21"/>
      <c r="J144" s="21"/>
      <c r="K144" s="21"/>
    </row>
    <row r="145" spans="3:11">
      <c r="C145" s="21"/>
      <c r="D145" s="21"/>
      <c r="E145" s="21"/>
      <c r="F145" s="21"/>
      <c r="G145" s="21"/>
      <c r="H145" s="21"/>
      <c r="I145" s="21"/>
      <c r="J145" s="21"/>
      <c r="K145" s="21"/>
    </row>
    <row r="146" spans="3:11">
      <c r="C146" s="21"/>
      <c r="D146" s="21"/>
      <c r="E146" s="21"/>
      <c r="F146" s="21"/>
      <c r="G146" s="21"/>
      <c r="H146" s="21"/>
      <c r="I146" s="21"/>
      <c r="J146" s="21"/>
      <c r="K146" s="21"/>
    </row>
    <row r="147" spans="3:11">
      <c r="C147" s="21"/>
      <c r="D147" s="21"/>
      <c r="E147" s="21"/>
      <c r="F147" s="21"/>
      <c r="G147" s="21"/>
      <c r="H147" s="21"/>
      <c r="I147" s="21"/>
      <c r="J147" s="21"/>
      <c r="K147" s="21"/>
    </row>
    <row r="148" spans="3:11">
      <c r="C148" s="21"/>
      <c r="D148" s="21"/>
      <c r="E148" s="21"/>
      <c r="F148" s="21"/>
      <c r="G148" s="21"/>
      <c r="H148" s="21"/>
      <c r="I148" s="21"/>
      <c r="J148" s="21"/>
      <c r="K148" s="21"/>
    </row>
    <row r="149" spans="3:11">
      <c r="C149" s="21"/>
      <c r="D149" s="21"/>
      <c r="E149" s="21"/>
      <c r="F149" s="21"/>
      <c r="G149" s="21"/>
      <c r="H149" s="21"/>
      <c r="I149" s="21"/>
      <c r="J149" s="21"/>
      <c r="K149" s="21"/>
    </row>
    <row r="150" spans="3:11">
      <c r="C150" s="21"/>
      <c r="D150" s="21"/>
      <c r="E150" s="21"/>
      <c r="F150" s="21"/>
      <c r="G150" s="21"/>
      <c r="H150" s="21"/>
      <c r="I150" s="21"/>
      <c r="J150" s="21"/>
      <c r="K150" s="21"/>
    </row>
    <row r="151" spans="3:11">
      <c r="C151" s="21"/>
      <c r="D151" s="21"/>
      <c r="E151" s="21"/>
      <c r="F151" s="21"/>
      <c r="G151" s="21"/>
      <c r="H151" s="21"/>
      <c r="I151" s="21"/>
      <c r="J151" s="21"/>
      <c r="K151" s="21"/>
    </row>
    <row r="152" spans="3:11">
      <c r="C152" s="21"/>
      <c r="D152" s="21"/>
      <c r="E152" s="21"/>
      <c r="F152" s="21"/>
      <c r="G152" s="21"/>
      <c r="H152" s="21"/>
      <c r="I152" s="21"/>
      <c r="J152" s="21"/>
      <c r="K152" s="21"/>
    </row>
    <row r="153" spans="3:11">
      <c r="C153" s="21"/>
      <c r="D153" s="21"/>
      <c r="E153" s="21"/>
      <c r="F153" s="21"/>
      <c r="G153" s="21"/>
      <c r="H153" s="21"/>
      <c r="I153" s="21"/>
      <c r="J153" s="21"/>
      <c r="K153" s="21"/>
    </row>
    <row r="154" spans="3:11">
      <c r="C154" s="21"/>
      <c r="D154" s="21"/>
      <c r="E154" s="21"/>
      <c r="F154" s="21"/>
      <c r="G154" s="21"/>
      <c r="H154" s="21"/>
      <c r="I154" s="21"/>
      <c r="J154" s="21"/>
      <c r="K154" s="21"/>
    </row>
    <row r="155" spans="3:11">
      <c r="C155" s="21"/>
      <c r="D155" s="21"/>
      <c r="E155" s="21"/>
      <c r="F155" s="21"/>
      <c r="G155" s="21"/>
      <c r="H155" s="21"/>
      <c r="I155" s="21"/>
      <c r="J155" s="21"/>
      <c r="K155" s="21"/>
    </row>
    <row r="156" spans="3:11">
      <c r="C156" s="21"/>
      <c r="D156" s="21"/>
      <c r="E156" s="21"/>
      <c r="F156" s="21"/>
      <c r="G156" s="21"/>
      <c r="H156" s="21"/>
      <c r="I156" s="21"/>
      <c r="J156" s="21"/>
      <c r="K156" s="21"/>
    </row>
    <row r="157" spans="3:11">
      <c r="C157" s="21"/>
      <c r="D157" s="21"/>
      <c r="E157" s="21"/>
      <c r="F157" s="21"/>
      <c r="G157" s="21"/>
      <c r="H157" s="21"/>
      <c r="I157" s="21"/>
      <c r="J157" s="21"/>
      <c r="K157" s="21"/>
    </row>
    <row r="158" spans="3:11">
      <c r="C158" s="21"/>
      <c r="D158" s="21"/>
      <c r="E158" s="21"/>
      <c r="F158" s="21"/>
      <c r="G158" s="21"/>
      <c r="H158" s="21"/>
      <c r="I158" s="21"/>
      <c r="J158" s="21"/>
      <c r="K158" s="21"/>
    </row>
    <row r="159" spans="3:11">
      <c r="C159" s="21"/>
      <c r="D159" s="21"/>
      <c r="E159" s="21"/>
      <c r="F159" s="21"/>
      <c r="G159" s="21"/>
      <c r="H159" s="21"/>
      <c r="I159" s="21"/>
      <c r="J159" s="21"/>
      <c r="K159" s="21"/>
    </row>
    <row r="160" spans="3:11">
      <c r="C160" s="21"/>
      <c r="D160" s="21"/>
      <c r="E160" s="21"/>
      <c r="F160" s="21"/>
      <c r="G160" s="21"/>
      <c r="H160" s="21"/>
      <c r="I160" s="21"/>
      <c r="J160" s="21"/>
      <c r="K160" s="21"/>
    </row>
    <row r="161" spans="3:11">
      <c r="C161" s="21"/>
      <c r="D161" s="21"/>
      <c r="E161" s="21"/>
      <c r="F161" s="21"/>
      <c r="G161" s="21"/>
      <c r="H161" s="21"/>
      <c r="I161" s="21"/>
      <c r="J161" s="21"/>
      <c r="K161" s="21"/>
    </row>
    <row r="162" spans="3:11">
      <c r="C162" s="21"/>
      <c r="D162" s="21"/>
      <c r="E162" s="21"/>
      <c r="F162" s="21"/>
      <c r="G162" s="21"/>
      <c r="H162" s="21"/>
      <c r="I162" s="21"/>
      <c r="J162" s="21"/>
      <c r="K162" s="21"/>
    </row>
    <row r="163" spans="3:11">
      <c r="C163" s="21"/>
      <c r="D163" s="21"/>
      <c r="E163" s="21"/>
      <c r="F163" s="21"/>
      <c r="G163" s="21"/>
      <c r="H163" s="21"/>
      <c r="I163" s="21"/>
      <c r="J163" s="21"/>
      <c r="K163" s="21"/>
    </row>
    <row r="164" spans="3:11">
      <c r="C164" s="21"/>
      <c r="D164" s="21"/>
      <c r="E164" s="21"/>
      <c r="F164" s="21"/>
      <c r="G164" s="21"/>
      <c r="H164" s="21"/>
      <c r="I164" s="21"/>
      <c r="J164" s="21"/>
      <c r="K164" s="21"/>
    </row>
    <row r="165" spans="3:11">
      <c r="C165" s="21"/>
      <c r="D165" s="21"/>
      <c r="E165" s="21"/>
      <c r="F165" s="21"/>
      <c r="G165" s="21"/>
      <c r="H165" s="21"/>
      <c r="I165" s="21"/>
      <c r="J165" s="21"/>
      <c r="K165" s="21"/>
    </row>
    <row r="166" spans="3:11">
      <c r="C166" s="21"/>
      <c r="D166" s="21"/>
      <c r="E166" s="21"/>
      <c r="F166" s="21"/>
      <c r="G166" s="21"/>
      <c r="H166" s="21"/>
      <c r="I166" s="21"/>
      <c r="J166" s="21"/>
      <c r="K166" s="21"/>
    </row>
    <row r="167" spans="3:11">
      <c r="C167" s="21"/>
      <c r="D167" s="21"/>
      <c r="E167" s="21"/>
      <c r="F167" s="21"/>
      <c r="G167" s="21"/>
      <c r="H167" s="21"/>
      <c r="I167" s="21"/>
      <c r="J167" s="21"/>
      <c r="K167" s="21"/>
    </row>
    <row r="168" spans="3:11">
      <c r="C168" s="21"/>
      <c r="D168" s="21"/>
      <c r="E168" s="21"/>
      <c r="F168" s="21"/>
      <c r="G168" s="21"/>
      <c r="H168" s="21"/>
      <c r="I168" s="21"/>
      <c r="J168" s="21"/>
      <c r="K168" s="21"/>
    </row>
    <row r="169" spans="3:11">
      <c r="C169" s="21"/>
      <c r="D169" s="21"/>
      <c r="E169" s="21"/>
      <c r="F169" s="21"/>
      <c r="G169" s="21"/>
      <c r="H169" s="21"/>
      <c r="I169" s="21"/>
      <c r="J169" s="21"/>
      <c r="K169" s="21"/>
    </row>
    <row r="170" spans="3:11">
      <c r="C170" s="21"/>
      <c r="D170" s="21"/>
      <c r="E170" s="21"/>
      <c r="F170" s="21"/>
      <c r="G170" s="21"/>
      <c r="H170" s="21"/>
      <c r="I170" s="21"/>
      <c r="J170" s="21"/>
      <c r="K170" s="21"/>
    </row>
    <row r="171" spans="3:11">
      <c r="C171" s="21"/>
      <c r="D171" s="21"/>
      <c r="E171" s="21"/>
      <c r="F171" s="21"/>
      <c r="G171" s="21"/>
      <c r="H171" s="21"/>
      <c r="I171" s="21"/>
      <c r="J171" s="21"/>
      <c r="K171" s="21"/>
    </row>
    <row r="172" spans="3:11">
      <c r="C172" s="21"/>
      <c r="D172" s="21"/>
      <c r="E172" s="21"/>
      <c r="F172" s="21"/>
      <c r="G172" s="21"/>
      <c r="H172" s="21"/>
      <c r="I172" s="21"/>
      <c r="J172" s="21"/>
      <c r="K172" s="21"/>
    </row>
    <row r="173" spans="3:11">
      <c r="C173" s="21"/>
      <c r="D173" s="21"/>
      <c r="E173" s="21"/>
      <c r="F173" s="21"/>
      <c r="G173" s="21"/>
      <c r="H173" s="21"/>
      <c r="I173" s="21"/>
      <c r="J173" s="21"/>
      <c r="K173" s="21"/>
    </row>
    <row r="174" spans="3:11">
      <c r="C174" s="21"/>
      <c r="D174" s="21"/>
      <c r="E174" s="21"/>
      <c r="F174" s="21"/>
      <c r="G174" s="21"/>
      <c r="H174" s="21"/>
      <c r="I174" s="21"/>
      <c r="J174" s="21"/>
      <c r="K174" s="21"/>
    </row>
    <row r="175" spans="3:11">
      <c r="C175" s="21"/>
      <c r="D175" s="21"/>
      <c r="E175" s="21"/>
      <c r="F175" s="21"/>
      <c r="G175" s="21"/>
      <c r="H175" s="21"/>
      <c r="I175" s="21"/>
      <c r="J175" s="21"/>
      <c r="K175" s="21"/>
    </row>
    <row r="176" spans="3:11">
      <c r="C176" s="21"/>
      <c r="D176" s="21"/>
      <c r="E176" s="21"/>
      <c r="F176" s="21"/>
      <c r="G176" s="21"/>
      <c r="H176" s="21"/>
      <c r="I176" s="21"/>
      <c r="J176" s="21"/>
      <c r="K176" s="21"/>
    </row>
    <row r="177" spans="3:11">
      <c r="C177" s="21"/>
      <c r="D177" s="21"/>
      <c r="E177" s="21"/>
      <c r="F177" s="21"/>
      <c r="G177" s="21"/>
      <c r="H177" s="21"/>
      <c r="I177" s="21"/>
      <c r="J177" s="21"/>
      <c r="K177" s="21"/>
    </row>
    <row r="178" spans="3:11">
      <c r="C178" s="21"/>
      <c r="D178" s="21"/>
      <c r="E178" s="21"/>
      <c r="F178" s="21"/>
      <c r="G178" s="21"/>
      <c r="H178" s="21"/>
      <c r="I178" s="21"/>
      <c r="J178" s="21"/>
      <c r="K178" s="21"/>
    </row>
    <row r="179" spans="3:11">
      <c r="C179" s="21"/>
      <c r="D179" s="21"/>
      <c r="E179" s="21"/>
      <c r="F179" s="21"/>
      <c r="G179" s="21"/>
      <c r="H179" s="21"/>
      <c r="I179" s="21"/>
      <c r="J179" s="21"/>
      <c r="K179" s="21"/>
    </row>
    <row r="180" spans="3:11">
      <c r="C180" s="21"/>
      <c r="D180" s="21"/>
      <c r="E180" s="21"/>
      <c r="F180" s="21"/>
      <c r="G180" s="21"/>
      <c r="H180" s="21"/>
      <c r="I180" s="21"/>
      <c r="J180" s="21"/>
      <c r="K180" s="21"/>
    </row>
    <row r="181" spans="3:11">
      <c r="C181" s="21"/>
      <c r="D181" s="21"/>
      <c r="E181" s="21"/>
      <c r="F181" s="21"/>
      <c r="G181" s="21"/>
      <c r="H181" s="21"/>
      <c r="I181" s="21"/>
      <c r="J181" s="21"/>
      <c r="K181" s="21"/>
    </row>
    <row r="182" spans="3:11">
      <c r="C182" s="21"/>
      <c r="D182" s="21"/>
      <c r="E182" s="21"/>
      <c r="F182" s="21"/>
      <c r="G182" s="21"/>
      <c r="H182" s="21"/>
      <c r="I182" s="21"/>
      <c r="J182" s="21"/>
      <c r="K182" s="21"/>
    </row>
    <row r="183" spans="3:11">
      <c r="C183" s="21"/>
      <c r="D183" s="21"/>
      <c r="E183" s="21"/>
      <c r="F183" s="21"/>
      <c r="G183" s="21"/>
      <c r="H183" s="21"/>
      <c r="I183" s="21"/>
      <c r="J183" s="21"/>
      <c r="K183" s="21"/>
    </row>
    <row r="184" spans="3:11">
      <c r="C184" s="21"/>
      <c r="D184" s="21"/>
      <c r="E184" s="21"/>
      <c r="F184" s="21"/>
      <c r="G184" s="21"/>
      <c r="H184" s="21"/>
      <c r="I184" s="21"/>
      <c r="J184" s="21"/>
      <c r="K184" s="21"/>
    </row>
    <row r="185" spans="3:11">
      <c r="C185" s="21"/>
      <c r="D185" s="21"/>
      <c r="E185" s="21"/>
      <c r="F185" s="21"/>
      <c r="G185" s="21"/>
      <c r="H185" s="21"/>
      <c r="I185" s="21"/>
      <c r="J185" s="21"/>
      <c r="K185" s="21"/>
    </row>
    <row r="186" spans="3:11">
      <c r="C186" s="21"/>
      <c r="D186" s="21"/>
      <c r="E186" s="21"/>
      <c r="F186" s="21"/>
      <c r="G186" s="21"/>
      <c r="H186" s="21"/>
      <c r="I186" s="21"/>
      <c r="J186" s="21"/>
      <c r="K186" s="21"/>
    </row>
    <row r="187" spans="3:11">
      <c r="C187" s="21"/>
      <c r="D187" s="21"/>
      <c r="E187" s="21"/>
      <c r="F187" s="21"/>
      <c r="G187" s="21"/>
      <c r="H187" s="21"/>
      <c r="I187" s="21"/>
      <c r="J187" s="21"/>
      <c r="K187" s="21"/>
    </row>
    <row r="188" spans="3:11">
      <c r="C188" s="21"/>
      <c r="D188" s="21"/>
      <c r="E188" s="21"/>
      <c r="F188" s="21"/>
      <c r="G188" s="21"/>
      <c r="H188" s="21"/>
      <c r="I188" s="21"/>
      <c r="J188" s="21"/>
      <c r="K188" s="21"/>
    </row>
    <row r="189" spans="3:11">
      <c r="C189" s="21"/>
      <c r="D189" s="21"/>
      <c r="E189" s="21"/>
      <c r="F189" s="21"/>
      <c r="G189" s="21"/>
      <c r="H189" s="21"/>
      <c r="I189" s="21"/>
      <c r="J189" s="21"/>
      <c r="K189" s="21"/>
    </row>
    <row r="190" spans="3:11">
      <c r="C190" s="21"/>
      <c r="D190" s="21"/>
      <c r="E190" s="21"/>
      <c r="F190" s="21"/>
      <c r="G190" s="21"/>
      <c r="H190" s="21"/>
      <c r="I190" s="21"/>
      <c r="J190" s="21"/>
      <c r="K190" s="21"/>
    </row>
    <row r="191" spans="3:11">
      <c r="C191" s="21"/>
      <c r="D191" s="21"/>
      <c r="E191" s="21"/>
      <c r="F191" s="21"/>
      <c r="G191" s="21"/>
      <c r="H191" s="21"/>
      <c r="I191" s="21"/>
      <c r="J191" s="21"/>
      <c r="K191" s="21"/>
    </row>
    <row r="192" spans="3:11">
      <c r="C192" s="21"/>
      <c r="D192" s="21"/>
      <c r="E192" s="21"/>
      <c r="F192" s="21"/>
      <c r="G192" s="21"/>
      <c r="H192" s="21"/>
      <c r="I192" s="21"/>
      <c r="J192" s="21"/>
      <c r="K192" s="21"/>
    </row>
    <row r="193" spans="3:11">
      <c r="C193" s="21"/>
      <c r="D193" s="21"/>
      <c r="E193" s="21"/>
      <c r="F193" s="21"/>
      <c r="G193" s="21"/>
      <c r="H193" s="21"/>
      <c r="I193" s="21"/>
      <c r="J193" s="21"/>
      <c r="K193" s="21"/>
    </row>
    <row r="194" spans="3:11">
      <c r="C194" s="21"/>
      <c r="D194" s="21"/>
      <c r="E194" s="21"/>
      <c r="F194" s="21"/>
      <c r="G194" s="21"/>
      <c r="H194" s="21"/>
      <c r="I194" s="21"/>
      <c r="J194" s="21"/>
      <c r="K194" s="21"/>
    </row>
    <row r="195" spans="3:11">
      <c r="C195" s="21"/>
      <c r="D195" s="21"/>
      <c r="E195" s="21"/>
      <c r="F195" s="21"/>
      <c r="G195" s="21"/>
      <c r="H195" s="21"/>
      <c r="I195" s="21"/>
      <c r="J195" s="21"/>
      <c r="K195" s="21"/>
    </row>
    <row r="196" spans="3:11">
      <c r="C196" s="21"/>
      <c r="D196" s="21"/>
      <c r="E196" s="21"/>
      <c r="F196" s="21"/>
      <c r="G196" s="21"/>
      <c r="H196" s="21"/>
      <c r="I196" s="21"/>
      <c r="J196" s="21"/>
      <c r="K196" s="21"/>
    </row>
    <row r="197" spans="3:11">
      <c r="C197" s="21"/>
      <c r="D197" s="21"/>
      <c r="E197" s="21"/>
      <c r="F197" s="21"/>
      <c r="G197" s="21"/>
      <c r="H197" s="21"/>
      <c r="I197" s="21"/>
      <c r="J197" s="21"/>
      <c r="K197" s="21"/>
    </row>
    <row r="198" spans="3:11">
      <c r="C198" s="21"/>
      <c r="D198" s="21"/>
      <c r="E198" s="21"/>
      <c r="F198" s="21"/>
      <c r="G198" s="21"/>
      <c r="H198" s="21"/>
      <c r="I198" s="21"/>
      <c r="J198" s="21"/>
      <c r="K198" s="21"/>
    </row>
    <row r="199" spans="3:11">
      <c r="C199" s="21"/>
      <c r="D199" s="21"/>
      <c r="E199" s="21"/>
      <c r="F199" s="21"/>
      <c r="G199" s="21"/>
      <c r="H199" s="21"/>
      <c r="I199" s="21"/>
      <c r="J199" s="21"/>
      <c r="K199" s="21"/>
    </row>
    <row r="200" spans="3:11">
      <c r="C200" s="21"/>
      <c r="D200" s="21"/>
      <c r="E200" s="21"/>
      <c r="F200" s="21"/>
      <c r="G200" s="21"/>
      <c r="H200" s="21"/>
      <c r="I200" s="21"/>
      <c r="J200" s="21"/>
      <c r="K200" s="21"/>
    </row>
    <row r="201" spans="3:11">
      <c r="C201" s="21"/>
      <c r="D201" s="21"/>
      <c r="E201" s="21"/>
      <c r="F201" s="21"/>
      <c r="G201" s="21"/>
      <c r="H201" s="21"/>
      <c r="I201" s="21"/>
      <c r="J201" s="21"/>
      <c r="K201" s="21"/>
    </row>
    <row r="202" spans="3:11">
      <c r="C202" s="21"/>
      <c r="D202" s="21"/>
      <c r="E202" s="21"/>
      <c r="F202" s="21"/>
      <c r="G202" s="21"/>
      <c r="H202" s="21"/>
      <c r="I202" s="21"/>
      <c r="J202" s="21"/>
      <c r="K202" s="21"/>
    </row>
    <row r="203" spans="3:11">
      <c r="C203" s="21"/>
      <c r="D203" s="21"/>
      <c r="E203" s="21"/>
      <c r="F203" s="21"/>
      <c r="G203" s="21"/>
      <c r="H203" s="21"/>
      <c r="I203" s="21"/>
      <c r="J203" s="21"/>
      <c r="K203" s="21"/>
    </row>
    <row r="204" spans="3:11">
      <c r="C204" s="21"/>
      <c r="D204" s="21"/>
      <c r="E204" s="21"/>
      <c r="F204" s="21"/>
      <c r="G204" s="21"/>
      <c r="H204" s="21"/>
      <c r="I204" s="21"/>
      <c r="J204" s="21"/>
      <c r="K204" s="21"/>
    </row>
    <row r="205" spans="3:11">
      <c r="C205" s="21"/>
      <c r="D205" s="21"/>
      <c r="E205" s="21"/>
      <c r="F205" s="21"/>
      <c r="G205" s="21"/>
      <c r="H205" s="21"/>
      <c r="I205" s="21"/>
      <c r="J205" s="21"/>
      <c r="K205" s="21"/>
    </row>
    <row r="206" spans="3:11">
      <c r="C206" s="21"/>
      <c r="D206" s="21"/>
      <c r="E206" s="21"/>
      <c r="F206" s="21"/>
      <c r="G206" s="21"/>
      <c r="H206" s="21"/>
      <c r="I206" s="21"/>
      <c r="J206" s="21"/>
      <c r="K206" s="21"/>
    </row>
    <row r="207" spans="3:11">
      <c r="C207" s="21"/>
      <c r="D207" s="21"/>
      <c r="E207" s="21"/>
      <c r="F207" s="21"/>
      <c r="G207" s="21"/>
      <c r="H207" s="21"/>
      <c r="I207" s="21"/>
      <c r="J207" s="21"/>
      <c r="K207" s="21"/>
    </row>
    <row r="208" spans="3:11">
      <c r="C208" s="21"/>
      <c r="D208" s="21"/>
      <c r="E208" s="21"/>
      <c r="F208" s="21"/>
      <c r="G208" s="21"/>
      <c r="H208" s="21"/>
      <c r="I208" s="21"/>
      <c r="J208" s="21"/>
      <c r="K208" s="21"/>
    </row>
    <row r="209" spans="3:11">
      <c r="C209" s="21"/>
      <c r="D209" s="21"/>
      <c r="E209" s="21"/>
      <c r="F209" s="21"/>
      <c r="G209" s="21"/>
      <c r="H209" s="21"/>
      <c r="I209" s="21"/>
      <c r="J209" s="21"/>
      <c r="K209" s="21"/>
    </row>
    <row r="210" spans="3:11">
      <c r="C210" s="21"/>
      <c r="D210" s="21"/>
      <c r="E210" s="21"/>
      <c r="F210" s="21"/>
      <c r="G210" s="21"/>
      <c r="H210" s="21"/>
      <c r="I210" s="21"/>
      <c r="J210" s="21"/>
      <c r="K210" s="21"/>
    </row>
    <row r="211" spans="3:11">
      <c r="C211" s="21"/>
      <c r="D211" s="21"/>
      <c r="E211" s="21"/>
      <c r="F211" s="21"/>
      <c r="G211" s="21"/>
      <c r="H211" s="21"/>
      <c r="I211" s="21"/>
      <c r="J211" s="21"/>
      <c r="K211" s="21"/>
    </row>
    <row r="212" spans="3:11">
      <c r="C212" s="21"/>
      <c r="D212" s="21"/>
      <c r="E212" s="21"/>
      <c r="F212" s="21"/>
      <c r="G212" s="21"/>
      <c r="H212" s="21"/>
      <c r="I212" s="21"/>
      <c r="J212" s="21"/>
      <c r="K212" s="21"/>
    </row>
    <row r="213" spans="3:11">
      <c r="C213" s="21"/>
      <c r="D213" s="21"/>
      <c r="E213" s="21"/>
      <c r="F213" s="21"/>
      <c r="G213" s="21"/>
      <c r="H213" s="21"/>
      <c r="I213" s="21"/>
      <c r="J213" s="21"/>
      <c r="K213" s="21"/>
    </row>
    <row r="214" spans="3:11">
      <c r="C214" s="21"/>
      <c r="D214" s="21"/>
      <c r="E214" s="21"/>
      <c r="F214" s="21"/>
      <c r="G214" s="21"/>
      <c r="H214" s="21"/>
      <c r="I214" s="21"/>
      <c r="J214" s="21"/>
      <c r="K214" s="21"/>
    </row>
    <row r="215" spans="3:11">
      <c r="C215" s="21"/>
      <c r="D215" s="21"/>
      <c r="E215" s="21"/>
      <c r="F215" s="21"/>
      <c r="G215" s="21"/>
      <c r="H215" s="21"/>
      <c r="I215" s="21"/>
      <c r="J215" s="21"/>
      <c r="K215" s="21"/>
    </row>
    <row r="216" spans="3:11">
      <c r="C216" s="21"/>
      <c r="D216" s="21"/>
      <c r="E216" s="21"/>
      <c r="F216" s="21"/>
      <c r="G216" s="21"/>
      <c r="H216" s="21"/>
      <c r="I216" s="21"/>
      <c r="J216" s="21"/>
      <c r="K216" s="21"/>
    </row>
    <row r="217" spans="3:11">
      <c r="C217" s="21"/>
      <c r="D217" s="21"/>
      <c r="E217" s="21"/>
      <c r="F217" s="21"/>
      <c r="G217" s="21"/>
      <c r="H217" s="21"/>
      <c r="I217" s="21"/>
      <c r="J217" s="21"/>
      <c r="K217" s="21"/>
    </row>
    <row r="218" spans="3:11">
      <c r="C218" s="21"/>
      <c r="D218" s="21"/>
      <c r="E218" s="21"/>
      <c r="F218" s="21"/>
      <c r="G218" s="21"/>
      <c r="H218" s="21"/>
      <c r="I218" s="21"/>
      <c r="J218" s="21"/>
      <c r="K218" s="21"/>
    </row>
    <row r="219" spans="3:11">
      <c r="C219" s="21"/>
      <c r="D219" s="21"/>
      <c r="E219" s="21"/>
      <c r="F219" s="21"/>
      <c r="G219" s="21"/>
      <c r="H219" s="21"/>
      <c r="I219" s="21"/>
      <c r="J219" s="21"/>
      <c r="K219" s="21"/>
    </row>
    <row r="220" spans="3:11">
      <c r="C220" s="21"/>
      <c r="D220" s="21"/>
      <c r="E220" s="21"/>
      <c r="F220" s="21"/>
      <c r="G220" s="21"/>
      <c r="H220" s="21"/>
      <c r="I220" s="21"/>
      <c r="J220" s="21"/>
      <c r="K220" s="21"/>
    </row>
    <row r="221" spans="3:11">
      <c r="C221" s="21"/>
      <c r="D221" s="21"/>
      <c r="E221" s="21"/>
      <c r="F221" s="21"/>
      <c r="G221" s="21"/>
      <c r="H221" s="21"/>
      <c r="I221" s="21"/>
      <c r="J221" s="21"/>
      <c r="K221" s="21"/>
    </row>
    <row r="222" spans="3:11">
      <c r="C222" s="21"/>
      <c r="D222" s="21"/>
      <c r="E222" s="21"/>
      <c r="F222" s="21"/>
      <c r="G222" s="21"/>
      <c r="H222" s="21"/>
      <c r="I222" s="21"/>
      <c r="J222" s="21"/>
      <c r="K222" s="21"/>
    </row>
    <row r="223" spans="3:11">
      <c r="C223" s="21"/>
      <c r="D223" s="21"/>
      <c r="E223" s="21"/>
      <c r="F223" s="21"/>
      <c r="G223" s="21"/>
      <c r="H223" s="21"/>
      <c r="I223" s="21"/>
      <c r="J223" s="21"/>
      <c r="K223" s="21"/>
    </row>
    <row r="224" spans="3:11">
      <c r="C224" s="21"/>
      <c r="D224" s="21"/>
      <c r="E224" s="21"/>
      <c r="F224" s="21"/>
      <c r="G224" s="21"/>
      <c r="H224" s="21"/>
      <c r="I224" s="21"/>
      <c r="J224" s="21"/>
      <c r="K224" s="21"/>
    </row>
    <row r="225" spans="3:11">
      <c r="C225" s="21"/>
      <c r="D225" s="21"/>
      <c r="E225" s="21"/>
      <c r="F225" s="21"/>
      <c r="G225" s="21"/>
      <c r="H225" s="21"/>
      <c r="I225" s="21"/>
      <c r="J225" s="21"/>
      <c r="K225" s="21"/>
    </row>
    <row r="226" spans="3:11">
      <c r="C226" s="21"/>
      <c r="D226" s="21"/>
      <c r="E226" s="21"/>
      <c r="F226" s="21"/>
      <c r="G226" s="21"/>
      <c r="H226" s="21"/>
      <c r="I226" s="21"/>
      <c r="J226" s="21"/>
      <c r="K226" s="21"/>
    </row>
    <row r="227" spans="3:11">
      <c r="C227" s="21"/>
      <c r="D227" s="21"/>
      <c r="E227" s="21"/>
      <c r="F227" s="21"/>
      <c r="G227" s="21"/>
      <c r="H227" s="21"/>
      <c r="I227" s="21"/>
      <c r="J227" s="21"/>
      <c r="K227" s="21"/>
    </row>
    <row r="228" spans="3:11">
      <c r="C228" s="21"/>
      <c r="D228" s="21"/>
      <c r="E228" s="21"/>
      <c r="F228" s="21"/>
      <c r="G228" s="21"/>
      <c r="H228" s="21"/>
      <c r="I228" s="21"/>
      <c r="J228" s="21"/>
      <c r="K228" s="21"/>
    </row>
    <row r="229" spans="3:11">
      <c r="C229" s="21"/>
      <c r="D229" s="21"/>
      <c r="E229" s="21"/>
      <c r="F229" s="21"/>
      <c r="G229" s="21"/>
      <c r="H229" s="21"/>
      <c r="I229" s="21"/>
      <c r="J229" s="21"/>
      <c r="K229" s="21"/>
    </row>
    <row r="230" spans="3:11">
      <c r="C230" s="21"/>
      <c r="D230" s="21"/>
      <c r="E230" s="21"/>
      <c r="F230" s="21"/>
      <c r="G230" s="21"/>
      <c r="H230" s="21"/>
      <c r="I230" s="21"/>
      <c r="J230" s="21"/>
      <c r="K230" s="21"/>
    </row>
    <row r="231" spans="3:11">
      <c r="C231" s="21"/>
      <c r="D231" s="21"/>
      <c r="E231" s="21"/>
      <c r="F231" s="21"/>
      <c r="G231" s="21"/>
      <c r="H231" s="21"/>
      <c r="I231" s="21"/>
      <c r="J231" s="21"/>
      <c r="K231" s="21"/>
    </row>
    <row r="232" spans="3:11">
      <c r="C232" s="21"/>
      <c r="D232" s="21"/>
      <c r="E232" s="21"/>
      <c r="F232" s="21"/>
      <c r="G232" s="21"/>
      <c r="H232" s="21"/>
      <c r="I232" s="21"/>
      <c r="J232" s="21"/>
      <c r="K232" s="21"/>
    </row>
    <row r="233" spans="3:11">
      <c r="C233" s="21"/>
      <c r="D233" s="21"/>
      <c r="E233" s="21"/>
      <c r="F233" s="21"/>
      <c r="G233" s="21"/>
      <c r="H233" s="21"/>
      <c r="I233" s="21"/>
      <c r="J233" s="21"/>
      <c r="K233" s="21"/>
    </row>
    <row r="234" spans="3:11">
      <c r="C234" s="21"/>
      <c r="D234" s="21"/>
      <c r="E234" s="21"/>
      <c r="F234" s="21"/>
      <c r="G234" s="21"/>
      <c r="H234" s="21"/>
      <c r="I234" s="21"/>
      <c r="J234" s="21"/>
      <c r="K234" s="21"/>
    </row>
    <row r="235" spans="3:11">
      <c r="C235" s="21"/>
      <c r="D235" s="21"/>
      <c r="E235" s="21"/>
      <c r="F235" s="21"/>
      <c r="G235" s="21"/>
      <c r="H235" s="21"/>
      <c r="I235" s="21"/>
      <c r="J235" s="21"/>
      <c r="K235" s="21"/>
    </row>
    <row r="236" spans="3:11">
      <c r="C236" s="21"/>
      <c r="D236" s="21"/>
      <c r="E236" s="21"/>
      <c r="F236" s="21"/>
      <c r="G236" s="21"/>
      <c r="H236" s="21"/>
      <c r="I236" s="21"/>
      <c r="J236" s="21"/>
      <c r="K236" s="21"/>
    </row>
    <row r="237" spans="3:11">
      <c r="C237" s="21"/>
      <c r="D237" s="21"/>
      <c r="E237" s="21"/>
      <c r="F237" s="21"/>
      <c r="G237" s="21"/>
      <c r="H237" s="21"/>
      <c r="I237" s="21"/>
      <c r="J237" s="21"/>
      <c r="K237" s="21"/>
    </row>
    <row r="238" spans="3:11">
      <c r="C238" s="21"/>
      <c r="D238" s="21"/>
      <c r="E238" s="21"/>
      <c r="F238" s="21"/>
      <c r="G238" s="21"/>
      <c r="H238" s="21"/>
      <c r="I238" s="21"/>
      <c r="J238" s="21"/>
      <c r="K238" s="21"/>
    </row>
    <row r="239" spans="3:11">
      <c r="C239" s="21"/>
      <c r="D239" s="21"/>
      <c r="E239" s="21"/>
      <c r="F239" s="21"/>
      <c r="G239" s="21"/>
      <c r="H239" s="21"/>
      <c r="I239" s="21"/>
      <c r="J239" s="21"/>
      <c r="K239" s="21"/>
    </row>
    <row r="240" spans="3:11">
      <c r="C240" s="21"/>
      <c r="D240" s="21"/>
      <c r="E240" s="21"/>
      <c r="F240" s="21"/>
      <c r="G240" s="21"/>
      <c r="H240" s="21"/>
      <c r="I240" s="21"/>
      <c r="J240" s="21"/>
      <c r="K240" s="21"/>
    </row>
    <row r="241" spans="3:11">
      <c r="C241" s="21"/>
      <c r="D241" s="21"/>
      <c r="E241" s="21"/>
      <c r="F241" s="21"/>
      <c r="G241" s="21"/>
      <c r="H241" s="21"/>
      <c r="I241" s="21"/>
      <c r="J241" s="21"/>
      <c r="K241" s="21"/>
    </row>
    <row r="242" spans="3:11">
      <c r="C242" s="21"/>
      <c r="D242" s="21"/>
      <c r="E242" s="21"/>
      <c r="F242" s="21"/>
      <c r="G242" s="21"/>
      <c r="H242" s="21"/>
      <c r="I242" s="21"/>
      <c r="J242" s="21"/>
      <c r="K242" s="21"/>
    </row>
    <row r="243" spans="3:11">
      <c r="C243" s="21"/>
      <c r="D243" s="21"/>
      <c r="E243" s="21"/>
      <c r="F243" s="21"/>
      <c r="G243" s="21"/>
      <c r="H243" s="21"/>
      <c r="I243" s="21"/>
      <c r="J243" s="21"/>
      <c r="K243" s="21"/>
    </row>
    <row r="244" spans="3:11">
      <c r="C244" s="21"/>
      <c r="D244" s="21"/>
      <c r="E244" s="21"/>
      <c r="F244" s="21"/>
      <c r="G244" s="21"/>
      <c r="H244" s="21"/>
      <c r="I244" s="21"/>
      <c r="J244" s="21"/>
      <c r="K244" s="21"/>
    </row>
    <row r="245" spans="3:11">
      <c r="C245" s="21"/>
      <c r="D245" s="21"/>
      <c r="E245" s="21"/>
      <c r="F245" s="21"/>
      <c r="G245" s="21"/>
      <c r="H245" s="21"/>
      <c r="I245" s="21"/>
      <c r="J245" s="21"/>
      <c r="K245" s="21"/>
    </row>
    <row r="246" spans="3:11">
      <c r="C246" s="21"/>
      <c r="D246" s="21"/>
      <c r="E246" s="21"/>
      <c r="F246" s="21"/>
      <c r="G246" s="21"/>
      <c r="H246" s="21"/>
      <c r="I246" s="21"/>
      <c r="J246" s="21"/>
      <c r="K246" s="21"/>
    </row>
    <row r="247" spans="3:11">
      <c r="C247" s="21"/>
      <c r="D247" s="21"/>
      <c r="E247" s="21"/>
      <c r="F247" s="21"/>
      <c r="G247" s="21"/>
      <c r="H247" s="21"/>
      <c r="I247" s="21"/>
      <c r="J247" s="21"/>
      <c r="K247" s="21"/>
    </row>
    <row r="248" spans="3:11">
      <c r="C248" s="21"/>
      <c r="D248" s="21"/>
      <c r="E248" s="21"/>
      <c r="F248" s="21"/>
      <c r="G248" s="21"/>
      <c r="H248" s="21"/>
      <c r="I248" s="21"/>
      <c r="J248" s="21"/>
      <c r="K248" s="21"/>
    </row>
    <row r="249" spans="3:11">
      <c r="C249" s="21"/>
      <c r="D249" s="21"/>
      <c r="E249" s="21"/>
      <c r="F249" s="21"/>
      <c r="G249" s="21"/>
      <c r="H249" s="21"/>
      <c r="I249" s="21"/>
      <c r="J249" s="21"/>
      <c r="K249" s="21"/>
    </row>
    <row r="250" spans="3:11">
      <c r="C250" s="21"/>
      <c r="D250" s="21"/>
      <c r="E250" s="21"/>
      <c r="F250" s="21"/>
      <c r="G250" s="21"/>
      <c r="H250" s="21"/>
      <c r="I250" s="21"/>
      <c r="J250" s="21"/>
      <c r="K250" s="21"/>
    </row>
    <row r="251" spans="3:11">
      <c r="C251" s="21"/>
      <c r="D251" s="21"/>
      <c r="E251" s="21"/>
      <c r="F251" s="21"/>
      <c r="G251" s="21"/>
      <c r="H251" s="21"/>
      <c r="I251" s="21"/>
      <c r="J251" s="21"/>
      <c r="K251" s="21"/>
    </row>
    <row r="252" spans="3:11">
      <c r="C252" s="21"/>
      <c r="D252" s="21"/>
      <c r="E252" s="21"/>
      <c r="F252" s="21"/>
      <c r="G252" s="21"/>
      <c r="H252" s="21"/>
      <c r="I252" s="21"/>
      <c r="J252" s="21"/>
      <c r="K252" s="21"/>
    </row>
    <row r="253" spans="3:11">
      <c r="C253" s="21"/>
      <c r="D253" s="21"/>
      <c r="E253" s="21"/>
      <c r="F253" s="21"/>
      <c r="G253" s="21"/>
      <c r="H253" s="21"/>
      <c r="I253" s="21"/>
      <c r="J253" s="21"/>
      <c r="K253" s="21"/>
    </row>
    <row r="254" spans="3:11">
      <c r="C254" s="21"/>
      <c r="D254" s="21"/>
      <c r="E254" s="21"/>
      <c r="F254" s="21"/>
      <c r="G254" s="21"/>
      <c r="H254" s="21"/>
      <c r="I254" s="21"/>
      <c r="J254" s="21"/>
      <c r="K254" s="21"/>
    </row>
    <row r="255" spans="3:11">
      <c r="C255" s="21"/>
      <c r="D255" s="21"/>
      <c r="E255" s="21"/>
      <c r="F255" s="21"/>
      <c r="G255" s="21"/>
      <c r="H255" s="21"/>
      <c r="I255" s="21"/>
      <c r="J255" s="21"/>
      <c r="K255" s="21"/>
    </row>
    <row r="256" spans="3:11">
      <c r="C256" s="21"/>
      <c r="D256" s="21"/>
      <c r="E256" s="21"/>
      <c r="F256" s="21"/>
      <c r="G256" s="21"/>
      <c r="H256" s="21"/>
      <c r="I256" s="21"/>
      <c r="J256" s="21"/>
      <c r="K256" s="21"/>
    </row>
    <row r="257" spans="3:11">
      <c r="C257" s="21"/>
      <c r="D257" s="21"/>
      <c r="E257" s="21"/>
      <c r="F257" s="21"/>
      <c r="G257" s="21"/>
      <c r="H257" s="21"/>
      <c r="I257" s="21"/>
      <c r="J257" s="21"/>
      <c r="K257" s="21"/>
    </row>
    <row r="258" spans="3:11">
      <c r="C258" s="21"/>
      <c r="D258" s="21"/>
      <c r="E258" s="21"/>
      <c r="F258" s="21"/>
      <c r="G258" s="21"/>
      <c r="H258" s="21"/>
      <c r="I258" s="21"/>
      <c r="J258" s="21"/>
      <c r="K258" s="21"/>
    </row>
    <row r="259" spans="3:11">
      <c r="C259" s="21"/>
      <c r="D259" s="21"/>
      <c r="E259" s="21"/>
      <c r="F259" s="21"/>
      <c r="G259" s="21"/>
      <c r="H259" s="21"/>
      <c r="I259" s="21"/>
      <c r="J259" s="21"/>
      <c r="K259" s="21"/>
    </row>
    <row r="260" spans="3:11">
      <c r="C260" s="21"/>
      <c r="D260" s="21"/>
      <c r="E260" s="21"/>
      <c r="F260" s="21"/>
      <c r="G260" s="21"/>
      <c r="H260" s="21"/>
      <c r="I260" s="21"/>
      <c r="J260" s="21"/>
      <c r="K260" s="21"/>
    </row>
    <row r="261" spans="3:11">
      <c r="C261" s="21"/>
      <c r="D261" s="21"/>
      <c r="E261" s="21"/>
      <c r="F261" s="21"/>
      <c r="G261" s="21"/>
      <c r="H261" s="21"/>
      <c r="I261" s="21"/>
      <c r="J261" s="21"/>
      <c r="K261" s="21"/>
    </row>
    <row r="262" spans="3:11">
      <c r="C262" s="21"/>
      <c r="D262" s="21"/>
      <c r="E262" s="21"/>
      <c r="F262" s="21"/>
      <c r="G262" s="21"/>
      <c r="H262" s="21"/>
      <c r="I262" s="21"/>
      <c r="J262" s="21"/>
      <c r="K262" s="21"/>
    </row>
    <row r="263" spans="3:11">
      <c r="C263" s="21"/>
      <c r="D263" s="21"/>
      <c r="E263" s="21"/>
      <c r="F263" s="21"/>
      <c r="G263" s="21"/>
      <c r="H263" s="21"/>
      <c r="I263" s="21"/>
      <c r="J263" s="21"/>
      <c r="K263" s="21"/>
    </row>
    <row r="264" spans="3:11">
      <c r="C264" s="21"/>
      <c r="D264" s="21"/>
      <c r="E264" s="21"/>
      <c r="F264" s="21"/>
      <c r="G264" s="21"/>
      <c r="H264" s="21"/>
      <c r="I264" s="21"/>
      <c r="J264" s="21"/>
      <c r="K264" s="21"/>
    </row>
    <row r="265" spans="3:11">
      <c r="C265" s="21"/>
      <c r="D265" s="21"/>
      <c r="E265" s="21"/>
      <c r="F265" s="21"/>
      <c r="G265" s="21"/>
      <c r="H265" s="21"/>
      <c r="I265" s="21"/>
      <c r="J265" s="21"/>
      <c r="K265" s="21"/>
    </row>
    <row r="266" spans="3:11">
      <c r="C266" s="21"/>
      <c r="D266" s="21"/>
      <c r="E266" s="21"/>
      <c r="F266" s="21"/>
      <c r="G266" s="21"/>
      <c r="H266" s="21"/>
      <c r="I266" s="21"/>
      <c r="J266" s="21"/>
      <c r="K266" s="21"/>
    </row>
    <row r="267" spans="3:11">
      <c r="C267" s="21"/>
      <c r="D267" s="21"/>
      <c r="E267" s="21"/>
      <c r="F267" s="21"/>
      <c r="G267" s="21"/>
      <c r="H267" s="21"/>
      <c r="I267" s="21"/>
      <c r="J267" s="21"/>
      <c r="K267" s="21"/>
    </row>
    <row r="268" spans="3:11">
      <c r="C268" s="21"/>
      <c r="D268" s="21"/>
      <c r="E268" s="21"/>
      <c r="F268" s="21"/>
      <c r="G268" s="21"/>
      <c r="H268" s="21"/>
      <c r="I268" s="21"/>
      <c r="J268" s="21"/>
      <c r="K268" s="21"/>
    </row>
    <row r="269" spans="3:11">
      <c r="C269" s="21"/>
      <c r="D269" s="21"/>
      <c r="E269" s="21"/>
      <c r="F269" s="21"/>
      <c r="G269" s="21"/>
      <c r="H269" s="21"/>
      <c r="I269" s="21"/>
      <c r="J269" s="21"/>
      <c r="K269" s="21"/>
    </row>
    <row r="270" spans="3:11">
      <c r="C270" s="21"/>
      <c r="D270" s="21"/>
      <c r="E270" s="21"/>
      <c r="F270" s="21"/>
      <c r="G270" s="21"/>
      <c r="H270" s="21"/>
      <c r="I270" s="21"/>
      <c r="J270" s="21"/>
      <c r="K270" s="21"/>
    </row>
    <row r="271" spans="3:11">
      <c r="C271" s="21"/>
      <c r="D271" s="21"/>
      <c r="E271" s="21"/>
      <c r="F271" s="21"/>
      <c r="G271" s="21"/>
      <c r="H271" s="21"/>
      <c r="I271" s="21"/>
      <c r="J271" s="21"/>
      <c r="K271" s="21"/>
    </row>
    <row r="272" spans="3:11">
      <c r="C272" s="21"/>
      <c r="D272" s="21"/>
      <c r="E272" s="21"/>
      <c r="F272" s="21"/>
      <c r="G272" s="21"/>
      <c r="H272" s="21"/>
      <c r="I272" s="21"/>
      <c r="J272" s="21"/>
      <c r="K272" s="21"/>
    </row>
    <row r="273" spans="3:11">
      <c r="C273" s="21"/>
      <c r="D273" s="21"/>
      <c r="E273" s="21"/>
      <c r="F273" s="21"/>
      <c r="G273" s="21"/>
      <c r="H273" s="21"/>
      <c r="I273" s="21"/>
      <c r="J273" s="21"/>
      <c r="K273" s="21"/>
    </row>
    <row r="274" spans="3:11">
      <c r="C274" s="21"/>
      <c r="D274" s="21"/>
      <c r="E274" s="21"/>
      <c r="F274" s="21"/>
      <c r="G274" s="21"/>
      <c r="H274" s="21"/>
      <c r="I274" s="21"/>
      <c r="J274" s="21"/>
      <c r="K274" s="21"/>
    </row>
    <row r="275" spans="3:11">
      <c r="C275" s="21"/>
      <c r="D275" s="21"/>
      <c r="E275" s="21"/>
      <c r="F275" s="21"/>
      <c r="G275" s="21"/>
      <c r="H275" s="21"/>
      <c r="I275" s="21"/>
      <c r="J275" s="21"/>
      <c r="K275" s="21"/>
    </row>
    <row r="276" spans="3:11">
      <c r="C276" s="21"/>
      <c r="D276" s="21"/>
      <c r="E276" s="21"/>
      <c r="F276" s="21"/>
      <c r="G276" s="21"/>
      <c r="H276" s="21"/>
      <c r="I276" s="21"/>
      <c r="J276" s="21"/>
      <c r="K276" s="21"/>
    </row>
    <row r="277" spans="3:11">
      <c r="C277" s="21"/>
      <c r="D277" s="21"/>
      <c r="E277" s="21"/>
      <c r="F277" s="21"/>
      <c r="G277" s="21"/>
      <c r="H277" s="21"/>
      <c r="I277" s="21"/>
      <c r="J277" s="21"/>
      <c r="K277" s="21"/>
    </row>
    <row r="278" spans="3:11">
      <c r="C278" s="21"/>
      <c r="D278" s="21"/>
      <c r="E278" s="21"/>
      <c r="F278" s="21"/>
      <c r="G278" s="21"/>
      <c r="H278" s="21"/>
      <c r="I278" s="21"/>
      <c r="J278" s="21"/>
      <c r="K278" s="21"/>
    </row>
    <row r="279" spans="3:11">
      <c r="C279" s="21"/>
      <c r="D279" s="21"/>
      <c r="E279" s="21"/>
      <c r="F279" s="21"/>
      <c r="G279" s="21"/>
      <c r="H279" s="21"/>
      <c r="I279" s="21"/>
      <c r="J279" s="21"/>
      <c r="K279" s="21"/>
    </row>
    <row r="280" spans="3:11">
      <c r="C280" s="21"/>
      <c r="D280" s="21"/>
      <c r="E280" s="21"/>
      <c r="F280" s="21"/>
      <c r="G280" s="21"/>
      <c r="H280" s="21"/>
      <c r="I280" s="21"/>
      <c r="J280" s="21"/>
      <c r="K280" s="21"/>
    </row>
    <row r="281" spans="3:11">
      <c r="C281" s="21"/>
      <c r="D281" s="21"/>
      <c r="E281" s="21"/>
      <c r="F281" s="21"/>
      <c r="G281" s="21"/>
      <c r="H281" s="21"/>
      <c r="I281" s="21"/>
      <c r="J281" s="21"/>
      <c r="K281" s="21"/>
    </row>
    <row r="282" spans="3:11">
      <c r="C282" s="21"/>
      <c r="D282" s="21"/>
      <c r="E282" s="21"/>
      <c r="F282" s="21"/>
      <c r="G282" s="21"/>
      <c r="H282" s="21"/>
      <c r="I282" s="21"/>
      <c r="J282" s="21"/>
      <c r="K282" s="21"/>
    </row>
    <row r="283" spans="3:11">
      <c r="C283" s="21"/>
      <c r="D283" s="21"/>
      <c r="E283" s="21"/>
      <c r="F283" s="21"/>
      <c r="G283" s="21"/>
      <c r="H283" s="21"/>
      <c r="I283" s="21"/>
      <c r="J283" s="21"/>
      <c r="K283" s="21"/>
    </row>
    <row r="284" spans="3:11">
      <c r="C284" s="21"/>
      <c r="D284" s="21"/>
      <c r="E284" s="21"/>
      <c r="F284" s="21"/>
      <c r="G284" s="21"/>
      <c r="H284" s="21"/>
      <c r="I284" s="21"/>
      <c r="J284" s="21"/>
      <c r="K284" s="21"/>
    </row>
    <row r="285" spans="3:11">
      <c r="C285" s="21"/>
      <c r="D285" s="21"/>
      <c r="E285" s="21"/>
      <c r="F285" s="21"/>
      <c r="G285" s="21"/>
      <c r="H285" s="21"/>
      <c r="I285" s="21"/>
      <c r="J285" s="21"/>
      <c r="K285" s="21"/>
    </row>
    <row r="286" spans="3:11">
      <c r="C286" s="21"/>
      <c r="D286" s="21"/>
      <c r="E286" s="21"/>
      <c r="F286" s="21"/>
      <c r="G286" s="21"/>
      <c r="H286" s="21"/>
      <c r="I286" s="21"/>
      <c r="J286" s="21"/>
      <c r="K286" s="21"/>
    </row>
    <row r="287" spans="3:11">
      <c r="C287" s="21"/>
      <c r="D287" s="21"/>
      <c r="E287" s="21"/>
      <c r="F287" s="21"/>
      <c r="G287" s="21"/>
      <c r="H287" s="21"/>
      <c r="I287" s="21"/>
      <c r="J287" s="21"/>
      <c r="K287" s="21"/>
    </row>
    <row r="288" spans="3:11">
      <c r="C288" s="21"/>
      <c r="D288" s="21"/>
      <c r="E288" s="21"/>
      <c r="F288" s="21"/>
      <c r="G288" s="21"/>
      <c r="H288" s="21"/>
      <c r="I288" s="21"/>
      <c r="J288" s="21"/>
      <c r="K288" s="21"/>
    </row>
    <row r="289" spans="3:11">
      <c r="C289" s="21"/>
      <c r="D289" s="21"/>
      <c r="E289" s="21"/>
      <c r="F289" s="21"/>
      <c r="G289" s="21"/>
      <c r="H289" s="21"/>
      <c r="I289" s="21"/>
      <c r="J289" s="21"/>
      <c r="K289" s="21"/>
    </row>
    <row r="290" spans="3:11">
      <c r="C290" s="21"/>
      <c r="D290" s="21"/>
      <c r="E290" s="21"/>
      <c r="F290" s="21"/>
      <c r="G290" s="21"/>
      <c r="H290" s="21"/>
      <c r="I290" s="21"/>
      <c r="J290" s="21"/>
      <c r="K290" s="21"/>
    </row>
    <row r="291" spans="3:11">
      <c r="C291" s="21"/>
      <c r="D291" s="21"/>
      <c r="E291" s="21"/>
      <c r="F291" s="21"/>
      <c r="G291" s="21"/>
      <c r="H291" s="21"/>
      <c r="I291" s="21"/>
      <c r="J291" s="21"/>
      <c r="K291" s="21"/>
    </row>
    <row r="292" spans="3:11">
      <c r="C292" s="21"/>
      <c r="D292" s="21"/>
      <c r="E292" s="21"/>
      <c r="F292" s="21"/>
      <c r="G292" s="21"/>
      <c r="H292" s="21"/>
      <c r="I292" s="21"/>
      <c r="J292" s="21"/>
      <c r="K292" s="21"/>
    </row>
    <row r="293" spans="3:11">
      <c r="C293" s="21"/>
      <c r="D293" s="21"/>
      <c r="E293" s="21"/>
      <c r="F293" s="21"/>
      <c r="G293" s="21"/>
      <c r="H293" s="21"/>
      <c r="I293" s="21"/>
      <c r="J293" s="21"/>
      <c r="K293" s="21"/>
    </row>
    <row r="294" spans="3:11">
      <c r="C294" s="21"/>
      <c r="D294" s="21"/>
      <c r="E294" s="21"/>
      <c r="F294" s="21"/>
      <c r="G294" s="21"/>
      <c r="H294" s="21"/>
      <c r="I294" s="21"/>
      <c r="J294" s="21"/>
      <c r="K294" s="21"/>
    </row>
    <row r="295" spans="3:11">
      <c r="C295" s="21"/>
      <c r="D295" s="21"/>
      <c r="E295" s="21"/>
      <c r="F295" s="21"/>
      <c r="G295" s="21"/>
      <c r="H295" s="21"/>
      <c r="I295" s="21"/>
      <c r="J295" s="21"/>
      <c r="K295" s="21"/>
    </row>
  </sheetData>
  <mergeCells count="23">
    <mergeCell ref="C9:G9"/>
    <mergeCell ref="J1:J3"/>
    <mergeCell ref="B1:B3"/>
    <mergeCell ref="G4:J4"/>
    <mergeCell ref="C8:G8"/>
    <mergeCell ref="C1:I3"/>
    <mergeCell ref="C10:G10"/>
    <mergeCell ref="C11:G11"/>
    <mergeCell ref="C12:G12"/>
    <mergeCell ref="C13:G13"/>
    <mergeCell ref="C14:G14"/>
    <mergeCell ref="C20:G20"/>
    <mergeCell ref="C21:G21"/>
    <mergeCell ref="C15:G15"/>
    <mergeCell ref="C16:G16"/>
    <mergeCell ref="C17:G17"/>
    <mergeCell ref="C18:G18"/>
    <mergeCell ref="C19:G19"/>
    <mergeCell ref="C22:G22"/>
    <mergeCell ref="C23:G23"/>
    <mergeCell ref="C24:G24"/>
    <mergeCell ref="C25:G25"/>
    <mergeCell ref="C26:G26"/>
  </mergeCells>
  <phoneticPr fontId="10" type="noConversion"/>
  <pageMargins left="0.19685039370078741" right="0.27559055118110237" top="0.31496062992125984" bottom="0" header="0.19685039370078741" footer="0.51181102362204722"/>
  <pageSetup paperSize="9" scale="92" orientation="landscape" r:id="rId1"/>
  <headerFooter alignWithMargins="0">
    <oddFooter>&amp;R&amp;6Pour information, imprimé le 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7439-2460-48A6-921D-E831073FA954}">
  <sheetPr>
    <tabColor rgb="FFFFFF00"/>
    <pageSetUpPr fitToPage="1"/>
  </sheetPr>
  <dimension ref="B1:Y48"/>
  <sheetViews>
    <sheetView tabSelected="1" zoomScaleNormal="100" zoomScaleSheetLayoutView="80" workbookViewId="0">
      <pane xSplit="3" ySplit="5" topLeftCell="D6" activePane="bottomRight" state="frozen"/>
      <selection pane="topRight" activeCell="D1" sqref="D1"/>
      <selection pane="bottomLeft" activeCell="A8" sqref="A8"/>
      <selection pane="bottomRight" activeCell="F5" sqref="F5"/>
    </sheetView>
  </sheetViews>
  <sheetFormatPr defaultColWidth="11.453125" defaultRowHeight="10" outlineLevelCol="1"/>
  <cols>
    <col min="1" max="1" width="2.08984375" style="1" customWidth="1"/>
    <col min="2" max="2" width="14.36328125" style="1" bestFit="1" customWidth="1"/>
    <col min="3" max="3" width="51.54296875" style="1" customWidth="1"/>
    <col min="4" max="4" width="37.36328125" style="13" customWidth="1"/>
    <col min="5" max="5" width="16.6328125" style="13" customWidth="1"/>
    <col min="6" max="6" width="16.453125" style="36" customWidth="1"/>
    <col min="7" max="7" width="15.453125" style="13" hidden="1" customWidth="1" outlineLevel="1"/>
    <col min="8" max="8" width="20.36328125" style="36" customWidth="1" collapsed="1"/>
    <col min="9" max="10" width="20.36328125" style="36" customWidth="1"/>
    <col min="11" max="11" width="9.08984375" style="36" customWidth="1"/>
    <col min="12" max="12" width="9.1796875" style="13" hidden="1" customWidth="1" outlineLevel="1" collapsed="1"/>
    <col min="13" max="13" width="12.1796875" style="13" hidden="1" customWidth="1" outlineLevel="1"/>
    <col min="14" max="14" width="50.6328125" style="13" hidden="1" customWidth="1" outlineLevel="1"/>
    <col min="15" max="15" width="12.54296875" style="13" hidden="1" customWidth="1" outlineLevel="1"/>
    <col min="16" max="16" width="12.54296875" style="36" hidden="1" customWidth="1" outlineLevel="1"/>
    <col min="17" max="17" width="16.453125" style="36" hidden="1" customWidth="1" outlineLevel="1"/>
    <col min="18" max="18" width="9.453125" style="36" hidden="1" customWidth="1" outlineLevel="1"/>
    <col min="19" max="20" width="16.08984375" style="36" hidden="1" customWidth="1" outlineLevel="1"/>
    <col min="21" max="22" width="18.90625" style="13" hidden="1" customWidth="1" outlineLevel="1"/>
    <col min="23" max="24" width="17.81640625" style="13" hidden="1" customWidth="1" outlineLevel="1"/>
    <col min="25" max="25" width="11.453125" style="1" collapsed="1"/>
    <col min="26" max="16384" width="11.453125" style="1"/>
  </cols>
  <sheetData>
    <row r="1" spans="2:24" ht="53.15" customHeight="1">
      <c r="B1" s="127"/>
      <c r="C1" s="128"/>
      <c r="D1" s="136" t="s">
        <v>111</v>
      </c>
      <c r="E1" s="137"/>
      <c r="F1" s="137"/>
      <c r="G1" s="137"/>
      <c r="H1" s="137"/>
      <c r="I1" s="138"/>
      <c r="J1" s="53" t="str">
        <f>Historic!J1</f>
        <v>T - Rev. L
 Linked to CP04</v>
      </c>
      <c r="K1" s="79"/>
      <c r="L1" s="54"/>
      <c r="M1" s="54"/>
      <c r="N1" s="54"/>
      <c r="O1" s="54"/>
      <c r="P1" s="54"/>
      <c r="Q1" s="54"/>
      <c r="R1" s="54"/>
      <c r="S1" s="54"/>
      <c r="T1" s="54"/>
      <c r="U1" s="55"/>
      <c r="V1" s="55"/>
      <c r="W1" s="54"/>
      <c r="X1" s="54"/>
    </row>
    <row r="2" spans="2:24" ht="53.15" customHeight="1" thickBot="1">
      <c r="B2" s="129"/>
      <c r="C2" s="130"/>
      <c r="D2" s="38" t="s">
        <v>0</v>
      </c>
      <c r="E2" s="37" t="str">
        <f>Historic!C4</f>
        <v>P2282</v>
      </c>
      <c r="F2" s="133" t="s">
        <v>1</v>
      </c>
      <c r="G2" s="134"/>
      <c r="H2" s="135"/>
      <c r="I2" s="131">
        <f>Historic!I4</f>
        <v>0</v>
      </c>
      <c r="J2" s="132"/>
      <c r="K2" s="80"/>
      <c r="L2" s="57"/>
      <c r="M2" s="57"/>
      <c r="N2" s="57"/>
      <c r="O2" s="57"/>
      <c r="P2" s="58"/>
      <c r="Q2" s="56"/>
      <c r="R2" s="56"/>
      <c r="S2" s="56"/>
      <c r="T2" s="56"/>
      <c r="U2" s="59"/>
      <c r="V2" s="59"/>
      <c r="W2" s="59"/>
      <c r="X2" s="59"/>
    </row>
    <row r="3" spans="2:24" s="63" customFormat="1" ht="30">
      <c r="B3" s="64" t="s">
        <v>114</v>
      </c>
      <c r="C3" s="63" t="s">
        <v>118</v>
      </c>
      <c r="D3" s="64" t="s">
        <v>162</v>
      </c>
      <c r="E3" s="64" t="s">
        <v>114</v>
      </c>
      <c r="F3" s="65" t="s">
        <v>116</v>
      </c>
      <c r="G3" s="65" t="s">
        <v>115</v>
      </c>
      <c r="H3" s="65" t="s">
        <v>117</v>
      </c>
      <c r="I3" s="65" t="s">
        <v>114</v>
      </c>
      <c r="J3" s="64" t="s">
        <v>114</v>
      </c>
      <c r="K3" s="64" t="s">
        <v>182</v>
      </c>
      <c r="L3" s="64" t="s">
        <v>119</v>
      </c>
      <c r="M3" s="64" t="s">
        <v>113</v>
      </c>
      <c r="N3" s="64" t="s">
        <v>115</v>
      </c>
      <c r="O3" s="64" t="s">
        <v>119</v>
      </c>
      <c r="P3" s="64" t="s">
        <v>115</v>
      </c>
      <c r="Q3" s="64" t="s">
        <v>119</v>
      </c>
      <c r="R3" s="64" t="s">
        <v>181</v>
      </c>
      <c r="S3" s="64" t="s">
        <v>119</v>
      </c>
      <c r="T3" s="64" t="s">
        <v>119</v>
      </c>
      <c r="U3" s="64" t="s">
        <v>119</v>
      </c>
      <c r="V3" s="64" t="s">
        <v>120</v>
      </c>
    </row>
    <row r="4" spans="2:24" s="24" customFormat="1" ht="50.4" customHeight="1">
      <c r="B4" s="60" t="s">
        <v>9</v>
      </c>
      <c r="C4" s="61" t="s">
        <v>10</v>
      </c>
      <c r="D4" s="61" t="s">
        <v>11</v>
      </c>
      <c r="E4" s="61" t="s">
        <v>5</v>
      </c>
      <c r="F4" s="61" t="s">
        <v>4</v>
      </c>
      <c r="G4" s="61" t="s">
        <v>15</v>
      </c>
      <c r="H4" s="61" t="s">
        <v>282</v>
      </c>
      <c r="I4" s="61" t="s">
        <v>187</v>
      </c>
      <c r="J4" s="62" t="s">
        <v>186</v>
      </c>
      <c r="K4" s="62" t="s">
        <v>139</v>
      </c>
      <c r="L4" s="72" t="s">
        <v>12</v>
      </c>
      <c r="M4" s="72" t="s">
        <v>13</v>
      </c>
      <c r="N4" s="72" t="s">
        <v>14</v>
      </c>
      <c r="O4" s="72" t="s">
        <v>16</v>
      </c>
      <c r="P4" s="72" t="s">
        <v>161</v>
      </c>
      <c r="Q4" s="72" t="s">
        <v>17</v>
      </c>
      <c r="R4" s="72" t="s">
        <v>18</v>
      </c>
      <c r="S4" s="72" t="s">
        <v>19</v>
      </c>
      <c r="T4" s="72" t="s">
        <v>20</v>
      </c>
      <c r="U4" s="72" t="s">
        <v>140</v>
      </c>
      <c r="V4" s="72" t="s">
        <v>110</v>
      </c>
    </row>
    <row r="5" spans="2:24" s="24" customFormat="1" ht="30" customHeight="1">
      <c r="B5" s="72">
        <v>1</v>
      </c>
      <c r="C5" s="90" t="s">
        <v>276</v>
      </c>
      <c r="D5" s="91" t="s">
        <v>277</v>
      </c>
      <c r="E5" s="92">
        <v>1010000627</v>
      </c>
      <c r="F5" s="72"/>
      <c r="G5" s="72"/>
      <c r="H5" s="92">
        <v>1</v>
      </c>
      <c r="I5" s="92" t="s">
        <v>286</v>
      </c>
      <c r="J5" s="72"/>
      <c r="K5" s="72"/>
      <c r="L5" s="92"/>
      <c r="M5" s="92"/>
      <c r="N5" s="72"/>
      <c r="O5" s="100"/>
      <c r="P5" s="72"/>
      <c r="Q5" s="100"/>
      <c r="R5" s="100"/>
      <c r="S5" s="100"/>
      <c r="T5" s="100"/>
      <c r="U5" s="100"/>
      <c r="V5" s="100" t="s">
        <v>363</v>
      </c>
    </row>
    <row r="6" spans="2:24" s="76" customFormat="1" ht="30" customHeight="1">
      <c r="B6" s="81" t="s">
        <v>21</v>
      </c>
      <c r="C6" s="83" t="s">
        <v>214</v>
      </c>
      <c r="D6" s="83" t="s">
        <v>215</v>
      </c>
      <c r="E6" s="83">
        <v>4010022451</v>
      </c>
      <c r="F6" s="75"/>
      <c r="G6" s="73"/>
      <c r="H6" s="83">
        <v>1</v>
      </c>
      <c r="I6" s="93" t="s">
        <v>287</v>
      </c>
      <c r="J6" s="73"/>
      <c r="K6" s="73"/>
      <c r="L6" s="93" t="s">
        <v>289</v>
      </c>
      <c r="M6" s="95" t="s">
        <v>290</v>
      </c>
      <c r="N6" s="73"/>
      <c r="O6" s="83" t="s">
        <v>309</v>
      </c>
      <c r="P6" s="73"/>
      <c r="Q6" s="93" t="s">
        <v>75</v>
      </c>
      <c r="R6" s="93"/>
      <c r="S6" s="93" t="s">
        <v>314</v>
      </c>
      <c r="T6" s="93" t="s">
        <v>315</v>
      </c>
      <c r="U6" s="98">
        <v>9.8000000000000007</v>
      </c>
      <c r="V6" s="98">
        <v>10.192000000000002</v>
      </c>
    </row>
    <row r="7" spans="2:24" s="76" customFormat="1" ht="30" customHeight="1">
      <c r="B7" s="81" t="s">
        <v>22</v>
      </c>
      <c r="C7" s="84" t="s">
        <v>216</v>
      </c>
      <c r="D7" s="84" t="s">
        <v>217</v>
      </c>
      <c r="E7" s="84">
        <v>4010022461</v>
      </c>
      <c r="F7" s="75"/>
      <c r="G7" s="73"/>
      <c r="H7" s="84">
        <v>1</v>
      </c>
      <c r="I7" s="94" t="s">
        <v>287</v>
      </c>
      <c r="J7" s="73"/>
      <c r="K7" s="73"/>
      <c r="L7" s="94" t="s">
        <v>291</v>
      </c>
      <c r="M7" s="96" t="s">
        <v>292</v>
      </c>
      <c r="N7" s="73"/>
      <c r="O7" s="84" t="s">
        <v>309</v>
      </c>
      <c r="P7" s="73"/>
      <c r="Q7" s="94" t="s">
        <v>75</v>
      </c>
      <c r="R7" s="94"/>
      <c r="S7" s="94" t="s">
        <v>314</v>
      </c>
      <c r="T7" s="94" t="s">
        <v>315</v>
      </c>
      <c r="U7" s="99">
        <v>12.5</v>
      </c>
      <c r="V7" s="99">
        <v>13</v>
      </c>
    </row>
    <row r="8" spans="2:24" s="76" customFormat="1" ht="30" customHeight="1">
      <c r="B8" s="81" t="s">
        <v>23</v>
      </c>
      <c r="C8" s="84" t="s">
        <v>218</v>
      </c>
      <c r="D8" s="84" t="s">
        <v>219</v>
      </c>
      <c r="E8" s="84">
        <v>4010022471</v>
      </c>
      <c r="F8" s="75"/>
      <c r="G8" s="73"/>
      <c r="H8" s="84">
        <v>1</v>
      </c>
      <c r="I8" s="94" t="s">
        <v>287</v>
      </c>
      <c r="J8" s="73"/>
      <c r="K8" s="73"/>
      <c r="L8" s="94" t="s">
        <v>293</v>
      </c>
      <c r="M8" s="96" t="s">
        <v>292</v>
      </c>
      <c r="N8" s="73"/>
      <c r="O8" s="84" t="s">
        <v>309</v>
      </c>
      <c r="P8" s="73"/>
      <c r="Q8" s="94" t="s">
        <v>75</v>
      </c>
      <c r="R8" s="94"/>
      <c r="S8" s="94" t="s">
        <v>314</v>
      </c>
      <c r="T8" s="94" t="s">
        <v>315</v>
      </c>
      <c r="U8" s="99">
        <v>8.6999999999999993</v>
      </c>
      <c r="V8" s="99">
        <v>9.048</v>
      </c>
    </row>
    <row r="9" spans="2:24" s="76" customFormat="1" ht="30" customHeight="1">
      <c r="B9" s="81" t="s">
        <v>24</v>
      </c>
      <c r="C9" s="84" t="s">
        <v>220</v>
      </c>
      <c r="D9" s="84" t="s">
        <v>221</v>
      </c>
      <c r="E9" s="84">
        <v>4010022481</v>
      </c>
      <c r="F9" s="75"/>
      <c r="G9" s="73"/>
      <c r="H9" s="84">
        <v>1</v>
      </c>
      <c r="I9" s="94" t="s">
        <v>287</v>
      </c>
      <c r="J9" s="73"/>
      <c r="K9" s="73"/>
      <c r="L9" s="94" t="s">
        <v>294</v>
      </c>
      <c r="M9" s="96" t="s">
        <v>290</v>
      </c>
      <c r="N9" s="73"/>
      <c r="O9" s="84" t="s">
        <v>309</v>
      </c>
      <c r="P9" s="73"/>
      <c r="Q9" s="94" t="s">
        <v>75</v>
      </c>
      <c r="R9" s="94"/>
      <c r="S9" s="94" t="s">
        <v>314</v>
      </c>
      <c r="T9" s="94" t="s">
        <v>315</v>
      </c>
      <c r="U9" s="99">
        <v>0.1</v>
      </c>
      <c r="V9" s="99">
        <v>0.10400000000000001</v>
      </c>
    </row>
    <row r="10" spans="2:24" s="76" customFormat="1" ht="30" customHeight="1">
      <c r="B10" s="81" t="s">
        <v>25</v>
      </c>
      <c r="C10" s="84" t="s">
        <v>222</v>
      </c>
      <c r="D10" s="84" t="s">
        <v>223</v>
      </c>
      <c r="E10" s="84">
        <v>4010022841</v>
      </c>
      <c r="F10" s="75"/>
      <c r="G10" s="73"/>
      <c r="H10" s="84">
        <v>1</v>
      </c>
      <c r="I10" s="94" t="s">
        <v>287</v>
      </c>
      <c r="J10" s="73"/>
      <c r="K10" s="73"/>
      <c r="L10" s="94" t="s">
        <v>295</v>
      </c>
      <c r="M10" s="96" t="s">
        <v>296</v>
      </c>
      <c r="N10" s="73"/>
      <c r="O10" s="84" t="s">
        <v>310</v>
      </c>
      <c r="P10" s="73"/>
      <c r="Q10" s="94" t="s">
        <v>80</v>
      </c>
      <c r="R10" s="94"/>
      <c r="S10" s="94" t="s">
        <v>314</v>
      </c>
      <c r="T10" s="94" t="s">
        <v>316</v>
      </c>
      <c r="U10" s="99">
        <v>4.9000000000000004</v>
      </c>
      <c r="V10" s="99">
        <v>6.370000000000001</v>
      </c>
    </row>
    <row r="11" spans="2:24" s="76" customFormat="1" ht="30" customHeight="1">
      <c r="B11" s="81" t="s">
        <v>26</v>
      </c>
      <c r="C11" s="84" t="s">
        <v>224</v>
      </c>
      <c r="D11" s="84" t="s">
        <v>225</v>
      </c>
      <c r="E11" s="84">
        <v>4010000281</v>
      </c>
      <c r="F11" s="75"/>
      <c r="G11" s="73"/>
      <c r="H11" s="84">
        <v>1</v>
      </c>
      <c r="I11" s="94" t="s">
        <v>287</v>
      </c>
      <c r="J11" s="73"/>
      <c r="K11" s="73"/>
      <c r="L11" s="94" t="s">
        <v>297</v>
      </c>
      <c r="M11" s="96" t="s">
        <v>298</v>
      </c>
      <c r="N11" s="73"/>
      <c r="O11" s="84" t="s">
        <v>311</v>
      </c>
      <c r="P11" s="73"/>
      <c r="Q11" s="94" t="s">
        <v>69</v>
      </c>
      <c r="R11" s="94"/>
      <c r="S11" s="94" t="s">
        <v>317</v>
      </c>
      <c r="T11" s="94" t="s">
        <v>318</v>
      </c>
      <c r="U11" s="99">
        <v>2</v>
      </c>
      <c r="V11" s="99">
        <v>2.4</v>
      </c>
    </row>
    <row r="12" spans="2:24" s="76" customFormat="1" ht="30" customHeight="1">
      <c r="B12" s="82" t="s">
        <v>191</v>
      </c>
      <c r="C12" s="84" t="s">
        <v>226</v>
      </c>
      <c r="D12" s="84"/>
      <c r="E12" s="84" t="s">
        <v>278</v>
      </c>
      <c r="F12" s="75"/>
      <c r="G12" s="73"/>
      <c r="H12" s="84">
        <v>1</v>
      </c>
      <c r="I12" s="94" t="s">
        <v>287</v>
      </c>
      <c r="J12" s="73"/>
      <c r="K12" s="73"/>
      <c r="L12" s="94"/>
      <c r="M12" s="96"/>
      <c r="N12" s="73"/>
      <c r="O12" s="84"/>
      <c r="P12" s="73"/>
      <c r="Q12" s="94"/>
      <c r="R12" s="94"/>
      <c r="S12" s="94"/>
      <c r="T12" s="94"/>
      <c r="U12" s="99"/>
      <c r="V12" s="99"/>
    </row>
    <row r="13" spans="2:24" s="76" customFormat="1" ht="30" customHeight="1">
      <c r="B13" s="82" t="s">
        <v>192</v>
      </c>
      <c r="C13" s="84" t="s">
        <v>227</v>
      </c>
      <c r="D13" s="84"/>
      <c r="E13" s="84" t="s">
        <v>278</v>
      </c>
      <c r="F13" s="77"/>
      <c r="G13" s="73"/>
      <c r="H13" s="84">
        <v>1</v>
      </c>
      <c r="I13" s="94" t="s">
        <v>287</v>
      </c>
      <c r="J13" s="73"/>
      <c r="K13" s="73"/>
      <c r="L13" s="94"/>
      <c r="M13" s="96"/>
      <c r="N13" s="73"/>
      <c r="O13" s="84"/>
      <c r="P13" s="73"/>
      <c r="Q13" s="94"/>
      <c r="R13" s="94"/>
      <c r="S13" s="94"/>
      <c r="T13" s="94"/>
      <c r="U13" s="99"/>
      <c r="V13" s="99"/>
    </row>
    <row r="14" spans="2:24" s="76" customFormat="1" ht="30" customHeight="1">
      <c r="B14" s="81" t="s">
        <v>27</v>
      </c>
      <c r="C14" s="84" t="s">
        <v>228</v>
      </c>
      <c r="D14" s="84" t="s">
        <v>229</v>
      </c>
      <c r="E14" s="84">
        <v>4010000282</v>
      </c>
      <c r="F14" s="75"/>
      <c r="G14" s="73"/>
      <c r="H14" s="84">
        <v>1</v>
      </c>
      <c r="I14" s="94" t="s">
        <v>287</v>
      </c>
      <c r="J14" s="73"/>
      <c r="K14" s="73"/>
      <c r="L14" s="94" t="s">
        <v>299</v>
      </c>
      <c r="M14" s="96" t="s">
        <v>298</v>
      </c>
      <c r="N14" s="73"/>
      <c r="O14" s="84" t="s">
        <v>311</v>
      </c>
      <c r="P14" s="73"/>
      <c r="Q14" s="94" t="s">
        <v>69</v>
      </c>
      <c r="R14" s="94"/>
      <c r="S14" s="94" t="s">
        <v>317</v>
      </c>
      <c r="T14" s="94" t="s">
        <v>318</v>
      </c>
      <c r="U14" s="99">
        <v>0.1</v>
      </c>
      <c r="V14" s="99">
        <v>0.12</v>
      </c>
    </row>
    <row r="15" spans="2:24" s="76" customFormat="1" ht="30" customHeight="1">
      <c r="B15" s="82" t="s">
        <v>193</v>
      </c>
      <c r="C15" s="84" t="s">
        <v>230</v>
      </c>
      <c r="D15" s="84"/>
      <c r="E15" s="84" t="s">
        <v>278</v>
      </c>
      <c r="F15" s="75"/>
      <c r="G15" s="73"/>
      <c r="H15" s="84">
        <v>1</v>
      </c>
      <c r="I15" s="94" t="s">
        <v>287</v>
      </c>
      <c r="J15" s="73"/>
      <c r="K15" s="73"/>
      <c r="L15" s="94"/>
      <c r="M15" s="96"/>
      <c r="N15" s="73"/>
      <c r="O15" s="84"/>
      <c r="P15" s="73"/>
      <c r="Q15" s="94"/>
      <c r="R15" s="94"/>
      <c r="S15" s="94"/>
      <c r="T15" s="94"/>
      <c r="U15" s="99"/>
      <c r="V15" s="99"/>
    </row>
    <row r="16" spans="2:24" s="76" customFormat="1" ht="30" customHeight="1">
      <c r="B16" s="82" t="s">
        <v>194</v>
      </c>
      <c r="C16" s="84" t="s">
        <v>231</v>
      </c>
      <c r="D16" s="84"/>
      <c r="E16" s="84" t="s">
        <v>278</v>
      </c>
      <c r="F16" s="77"/>
      <c r="G16" s="73"/>
      <c r="H16" s="84">
        <v>1</v>
      </c>
      <c r="I16" s="94" t="s">
        <v>287</v>
      </c>
      <c r="J16" s="73"/>
      <c r="K16" s="73"/>
      <c r="L16" s="94"/>
      <c r="M16" s="96"/>
      <c r="N16" s="73"/>
      <c r="O16" s="84"/>
      <c r="P16" s="73"/>
      <c r="Q16" s="94"/>
      <c r="R16" s="94"/>
      <c r="S16" s="94"/>
      <c r="T16" s="94"/>
      <c r="U16" s="99"/>
      <c r="V16" s="99"/>
    </row>
    <row r="17" spans="2:22" s="76" customFormat="1" ht="30" customHeight="1">
      <c r="B17" s="81" t="s">
        <v>28</v>
      </c>
      <c r="C17" s="84" t="s">
        <v>232</v>
      </c>
      <c r="D17" s="84" t="s">
        <v>233</v>
      </c>
      <c r="E17" s="84">
        <v>5050050413</v>
      </c>
      <c r="F17" s="75"/>
      <c r="G17" s="73"/>
      <c r="H17" s="84">
        <v>1</v>
      </c>
      <c r="I17" s="94" t="s">
        <v>287</v>
      </c>
      <c r="J17" s="73"/>
      <c r="K17" s="73"/>
      <c r="L17" s="94" t="s">
        <v>300</v>
      </c>
      <c r="M17" s="96" t="s">
        <v>298</v>
      </c>
      <c r="N17" s="73"/>
      <c r="O17" s="84" t="s">
        <v>311</v>
      </c>
      <c r="P17" s="73"/>
      <c r="Q17" s="94" t="s">
        <v>92</v>
      </c>
      <c r="R17" s="94" t="s">
        <v>319</v>
      </c>
      <c r="S17" s="94" t="s">
        <v>320</v>
      </c>
      <c r="T17" s="94"/>
      <c r="U17" s="99">
        <v>0.2</v>
      </c>
      <c r="V17" s="99">
        <v>2.0000000000000004E-2</v>
      </c>
    </row>
    <row r="18" spans="2:22" s="76" customFormat="1" ht="30" customHeight="1">
      <c r="B18" s="81" t="s">
        <v>29</v>
      </c>
      <c r="C18" s="84" t="s">
        <v>234</v>
      </c>
      <c r="D18" s="84" t="s">
        <v>235</v>
      </c>
      <c r="E18" s="84">
        <v>5050050414</v>
      </c>
      <c r="F18" s="75"/>
      <c r="G18" s="73"/>
      <c r="H18" s="84">
        <v>1</v>
      </c>
      <c r="I18" s="94" t="s">
        <v>287</v>
      </c>
      <c r="J18" s="73"/>
      <c r="K18" s="73"/>
      <c r="L18" s="94" t="s">
        <v>301</v>
      </c>
      <c r="M18" s="96" t="s">
        <v>298</v>
      </c>
      <c r="N18" s="73"/>
      <c r="O18" s="84" t="s">
        <v>311</v>
      </c>
      <c r="P18" s="73"/>
      <c r="Q18" s="94" t="s">
        <v>92</v>
      </c>
      <c r="R18" s="94" t="s">
        <v>321</v>
      </c>
      <c r="S18" s="94" t="s">
        <v>320</v>
      </c>
      <c r="T18" s="94"/>
      <c r="U18" s="99">
        <v>3</v>
      </c>
      <c r="V18" s="99">
        <v>0.30000000000000004</v>
      </c>
    </row>
    <row r="19" spans="2:22" s="76" customFormat="1" ht="30" customHeight="1">
      <c r="B19" s="81" t="s">
        <v>30</v>
      </c>
      <c r="C19" s="84" t="s">
        <v>236</v>
      </c>
      <c r="D19" s="84" t="s">
        <v>237</v>
      </c>
      <c r="E19" s="84">
        <v>5050050415</v>
      </c>
      <c r="F19" s="75"/>
      <c r="G19" s="73"/>
      <c r="H19" s="84">
        <v>1</v>
      </c>
      <c r="I19" s="94" t="s">
        <v>287</v>
      </c>
      <c r="J19" s="73"/>
      <c r="K19" s="73"/>
      <c r="L19" s="94" t="s">
        <v>302</v>
      </c>
      <c r="M19" s="96" t="s">
        <v>298</v>
      </c>
      <c r="N19" s="73"/>
      <c r="O19" s="84" t="s">
        <v>311</v>
      </c>
      <c r="P19" s="73"/>
      <c r="Q19" s="94" t="s">
        <v>92</v>
      </c>
      <c r="R19" s="94" t="s">
        <v>319</v>
      </c>
      <c r="S19" s="94" t="s">
        <v>320</v>
      </c>
      <c r="T19" s="94"/>
      <c r="U19" s="99">
        <v>0.1</v>
      </c>
      <c r="V19" s="99">
        <v>1.0000000000000002E-2</v>
      </c>
    </row>
    <row r="20" spans="2:22" s="76" customFormat="1" ht="30" customHeight="1">
      <c r="B20" s="81" t="s">
        <v>195</v>
      </c>
      <c r="C20" s="84" t="s">
        <v>238</v>
      </c>
      <c r="D20" s="84" t="s">
        <v>239</v>
      </c>
      <c r="E20" s="84">
        <v>5050050416</v>
      </c>
      <c r="F20" s="75"/>
      <c r="G20" s="73"/>
      <c r="H20" s="84">
        <v>1</v>
      </c>
      <c r="I20" s="94" t="s">
        <v>287</v>
      </c>
      <c r="J20" s="73"/>
      <c r="K20" s="73"/>
      <c r="L20" s="94" t="s">
        <v>303</v>
      </c>
      <c r="M20" s="96" t="s">
        <v>304</v>
      </c>
      <c r="N20" s="73"/>
      <c r="O20" s="84" t="s">
        <v>311</v>
      </c>
      <c r="P20" s="73"/>
      <c r="Q20" s="94" t="s">
        <v>92</v>
      </c>
      <c r="R20" s="94" t="s">
        <v>322</v>
      </c>
      <c r="S20" s="94" t="s">
        <v>320</v>
      </c>
      <c r="T20" s="94"/>
      <c r="U20" s="99">
        <v>0.2</v>
      </c>
      <c r="V20" s="99">
        <v>2.0000000000000004E-2</v>
      </c>
    </row>
    <row r="21" spans="2:22" s="76" customFormat="1" ht="30" customHeight="1">
      <c r="B21" s="81" t="s">
        <v>196</v>
      </c>
      <c r="C21" s="84" t="s">
        <v>240</v>
      </c>
      <c r="D21" s="84" t="s">
        <v>241</v>
      </c>
      <c r="E21" s="84">
        <v>4030005433</v>
      </c>
      <c r="F21" s="75"/>
      <c r="G21" s="73"/>
      <c r="H21" s="84">
        <v>1</v>
      </c>
      <c r="I21" s="94" t="s">
        <v>288</v>
      </c>
      <c r="J21" s="73"/>
      <c r="K21" s="73"/>
      <c r="L21" s="94" t="s">
        <v>305</v>
      </c>
      <c r="M21" s="97" t="s">
        <v>306</v>
      </c>
      <c r="N21" s="73"/>
      <c r="O21" s="84" t="s">
        <v>312</v>
      </c>
      <c r="P21" s="73"/>
      <c r="Q21" s="94"/>
      <c r="R21" s="94"/>
      <c r="S21" s="94"/>
      <c r="T21" s="94"/>
      <c r="U21" s="99"/>
      <c r="V21" s="99" t="s">
        <v>363</v>
      </c>
    </row>
    <row r="22" spans="2:22" s="76" customFormat="1" ht="30" customHeight="1">
      <c r="B22" s="81" t="s">
        <v>197</v>
      </c>
      <c r="C22" s="84" t="s">
        <v>242</v>
      </c>
      <c r="D22" s="84" t="s">
        <v>243</v>
      </c>
      <c r="E22" s="84">
        <v>4030005432</v>
      </c>
      <c r="F22" s="75"/>
      <c r="G22" s="73"/>
      <c r="H22" s="84">
        <v>1</v>
      </c>
      <c r="I22" s="94" t="s">
        <v>288</v>
      </c>
      <c r="J22" s="73"/>
      <c r="K22" s="73"/>
      <c r="L22" s="94" t="s">
        <v>305</v>
      </c>
      <c r="M22" s="97" t="s">
        <v>306</v>
      </c>
      <c r="N22" s="73"/>
      <c r="O22" s="84" t="s">
        <v>312</v>
      </c>
      <c r="P22" s="73"/>
      <c r="Q22" s="94"/>
      <c r="R22" s="94"/>
      <c r="S22" s="94"/>
      <c r="T22" s="94"/>
      <c r="U22" s="99"/>
      <c r="V22" s="99" t="s">
        <v>363</v>
      </c>
    </row>
    <row r="23" spans="2:22" s="76" customFormat="1" ht="30" customHeight="1">
      <c r="B23" s="81" t="s">
        <v>198</v>
      </c>
      <c r="C23" s="84" t="s">
        <v>244</v>
      </c>
      <c r="D23" s="84" t="s">
        <v>245</v>
      </c>
      <c r="E23" s="84">
        <v>4030005594</v>
      </c>
      <c r="F23" s="75"/>
      <c r="G23" s="73"/>
      <c r="H23" s="84">
        <v>1</v>
      </c>
      <c r="I23" s="94" t="s">
        <v>287</v>
      </c>
      <c r="J23" s="73"/>
      <c r="K23" s="73"/>
      <c r="L23" s="94" t="s">
        <v>307</v>
      </c>
      <c r="M23" s="97"/>
      <c r="N23" s="73"/>
      <c r="O23" s="84"/>
      <c r="P23" s="73"/>
      <c r="Q23" s="94"/>
      <c r="R23" s="94" t="s">
        <v>323</v>
      </c>
      <c r="S23" s="94"/>
      <c r="T23" s="94"/>
      <c r="U23" s="99"/>
      <c r="V23" s="99" t="s">
        <v>363</v>
      </c>
    </row>
    <row r="24" spans="2:22" s="76" customFormat="1" ht="30" customHeight="1">
      <c r="B24" s="81" t="s">
        <v>199</v>
      </c>
      <c r="C24" s="84" t="s">
        <v>246</v>
      </c>
      <c r="D24" s="84" t="s">
        <v>247</v>
      </c>
      <c r="E24" s="84">
        <v>4030005595</v>
      </c>
      <c r="F24" s="75"/>
      <c r="G24" s="73"/>
      <c r="H24" s="84">
        <v>1</v>
      </c>
      <c r="I24" s="94" t="s">
        <v>287</v>
      </c>
      <c r="J24" s="73"/>
      <c r="K24" s="73"/>
      <c r="L24" s="94"/>
      <c r="M24" s="97"/>
      <c r="N24" s="73"/>
      <c r="O24" s="84" t="s">
        <v>313</v>
      </c>
      <c r="P24" s="73"/>
      <c r="Q24" s="94"/>
      <c r="R24" s="94"/>
      <c r="S24" s="94"/>
      <c r="T24" s="94"/>
      <c r="U24" s="99"/>
      <c r="V24" s="99" t="s">
        <v>363</v>
      </c>
    </row>
    <row r="25" spans="2:22" s="76" customFormat="1" ht="30" customHeight="1">
      <c r="B25" s="81" t="s">
        <v>200</v>
      </c>
      <c r="C25" s="84" t="s">
        <v>248</v>
      </c>
      <c r="D25" s="84" t="s">
        <v>249</v>
      </c>
      <c r="E25" s="84">
        <v>4030005596</v>
      </c>
      <c r="F25" s="75"/>
      <c r="G25" s="73"/>
      <c r="H25" s="84">
        <v>1</v>
      </c>
      <c r="I25" s="94" t="s">
        <v>287</v>
      </c>
      <c r="J25" s="73"/>
      <c r="K25" s="73"/>
      <c r="L25" s="94" t="s">
        <v>308</v>
      </c>
      <c r="M25" s="97"/>
      <c r="N25" s="73"/>
      <c r="O25" s="84" t="s">
        <v>313</v>
      </c>
      <c r="P25" s="73"/>
      <c r="Q25" s="94"/>
      <c r="R25" s="94" t="s">
        <v>324</v>
      </c>
      <c r="S25" s="94"/>
      <c r="T25" s="94"/>
      <c r="U25" s="99"/>
      <c r="V25" s="99" t="s">
        <v>363</v>
      </c>
    </row>
    <row r="26" spans="2:22" s="76" customFormat="1" ht="30" customHeight="1">
      <c r="B26" s="81" t="s">
        <v>201</v>
      </c>
      <c r="C26" s="84" t="s">
        <v>250</v>
      </c>
      <c r="D26" s="84" t="s">
        <v>251</v>
      </c>
      <c r="E26" s="84">
        <v>4030005597</v>
      </c>
      <c r="F26" s="75"/>
      <c r="G26" s="73"/>
      <c r="H26" s="84">
        <v>1</v>
      </c>
      <c r="I26" s="94" t="s">
        <v>287</v>
      </c>
      <c r="J26" s="73"/>
      <c r="K26" s="73"/>
      <c r="L26" s="94"/>
      <c r="M26" s="97"/>
      <c r="N26" s="73"/>
      <c r="O26" s="84"/>
      <c r="P26" s="73"/>
      <c r="Q26" s="94"/>
      <c r="R26" s="94"/>
      <c r="S26" s="94"/>
      <c r="T26" s="94"/>
      <c r="U26" s="99"/>
      <c r="V26" s="99" t="s">
        <v>363</v>
      </c>
    </row>
    <row r="27" spans="2:22" s="76" customFormat="1" ht="30" customHeight="1">
      <c r="B27" s="81" t="s">
        <v>202</v>
      </c>
      <c r="C27" s="84" t="s">
        <v>252</v>
      </c>
      <c r="D27" s="84" t="s">
        <v>253</v>
      </c>
      <c r="E27" s="84">
        <v>4030005681</v>
      </c>
      <c r="F27" s="75"/>
      <c r="G27" s="73"/>
      <c r="H27" s="84">
        <v>2</v>
      </c>
      <c r="I27" s="94" t="s">
        <v>287</v>
      </c>
      <c r="J27" s="73"/>
      <c r="K27" s="73"/>
      <c r="L27" s="94"/>
      <c r="M27" s="97"/>
      <c r="N27" s="73"/>
      <c r="O27" s="84"/>
      <c r="P27" s="73"/>
      <c r="Q27" s="94"/>
      <c r="R27" s="94"/>
      <c r="S27" s="94"/>
      <c r="T27" s="94"/>
      <c r="U27" s="99"/>
      <c r="V27" s="99">
        <v>5.0999999999999996</v>
      </c>
    </row>
    <row r="28" spans="2:22" s="76" customFormat="1" ht="30" customHeight="1">
      <c r="B28" s="81" t="s">
        <v>203</v>
      </c>
      <c r="C28" s="84" t="s">
        <v>254</v>
      </c>
      <c r="D28" s="84" t="s">
        <v>255</v>
      </c>
      <c r="E28" s="84">
        <v>5050030981</v>
      </c>
      <c r="F28" s="75"/>
      <c r="G28" s="73"/>
      <c r="H28" s="84">
        <v>1</v>
      </c>
      <c r="I28" s="94" t="s">
        <v>287</v>
      </c>
      <c r="J28" s="73"/>
      <c r="K28" s="73"/>
      <c r="L28" s="94"/>
      <c r="M28" s="97"/>
      <c r="N28" s="73"/>
      <c r="O28" s="84"/>
      <c r="P28" s="73"/>
      <c r="Q28" s="94"/>
      <c r="R28" s="94"/>
      <c r="S28" s="94"/>
      <c r="T28" s="94"/>
      <c r="U28" s="99"/>
      <c r="V28" s="99">
        <v>33.6</v>
      </c>
    </row>
    <row r="29" spans="2:22" s="76" customFormat="1" ht="30" customHeight="1">
      <c r="B29" s="81" t="s">
        <v>204</v>
      </c>
      <c r="C29" s="84" t="s">
        <v>256</v>
      </c>
      <c r="D29" s="85" t="s">
        <v>257</v>
      </c>
      <c r="E29" s="84">
        <v>5050041713</v>
      </c>
      <c r="F29" s="75"/>
      <c r="G29" s="73"/>
      <c r="H29" s="84">
        <v>1</v>
      </c>
      <c r="I29" s="94" t="s">
        <v>287</v>
      </c>
      <c r="J29" s="73"/>
      <c r="K29" s="73"/>
      <c r="L29" s="94"/>
      <c r="M29" s="97"/>
      <c r="N29" s="73"/>
      <c r="O29" s="84"/>
      <c r="P29" s="73"/>
      <c r="Q29" s="94"/>
      <c r="R29" s="94"/>
      <c r="S29" s="94"/>
      <c r="T29" s="94"/>
      <c r="U29" s="99"/>
      <c r="V29" s="99">
        <v>3.12</v>
      </c>
    </row>
    <row r="30" spans="2:22" s="76" customFormat="1" ht="30" customHeight="1">
      <c r="B30" s="81" t="s">
        <v>205</v>
      </c>
      <c r="C30" s="84" t="s">
        <v>258</v>
      </c>
      <c r="D30" s="85" t="s">
        <v>259</v>
      </c>
      <c r="E30" s="84">
        <v>5050041714</v>
      </c>
      <c r="F30" s="75"/>
      <c r="G30" s="73"/>
      <c r="H30" s="84">
        <v>1</v>
      </c>
      <c r="I30" s="94" t="s">
        <v>287</v>
      </c>
      <c r="J30" s="73"/>
      <c r="K30" s="73"/>
      <c r="L30" s="94"/>
      <c r="M30" s="97"/>
      <c r="N30" s="73"/>
      <c r="O30" s="84"/>
      <c r="P30" s="73"/>
      <c r="Q30" s="94"/>
      <c r="R30" s="94"/>
      <c r="S30" s="94"/>
      <c r="T30" s="94"/>
      <c r="U30" s="99"/>
      <c r="V30" s="99">
        <v>0.1</v>
      </c>
    </row>
    <row r="31" spans="2:22" s="76" customFormat="1" ht="30" customHeight="1">
      <c r="B31" s="81" t="s">
        <v>206</v>
      </c>
      <c r="C31" s="84" t="s">
        <v>260</v>
      </c>
      <c r="D31" s="84" t="s">
        <v>261</v>
      </c>
      <c r="E31" s="84">
        <v>5050030982</v>
      </c>
      <c r="F31" s="75"/>
      <c r="G31" s="73"/>
      <c r="H31" s="84">
        <v>1</v>
      </c>
      <c r="I31" s="94" t="s">
        <v>287</v>
      </c>
      <c r="J31" s="73"/>
      <c r="K31" s="73"/>
      <c r="L31" s="94"/>
      <c r="M31" s="97"/>
      <c r="N31" s="73"/>
      <c r="O31" s="84"/>
      <c r="P31" s="73"/>
      <c r="Q31" s="94"/>
      <c r="R31" s="94"/>
      <c r="S31" s="94"/>
      <c r="T31" s="94"/>
      <c r="U31" s="99"/>
      <c r="V31" s="99">
        <v>5</v>
      </c>
    </row>
    <row r="32" spans="2:22" s="76" customFormat="1" ht="30" customHeight="1">
      <c r="B32" s="81" t="s">
        <v>207</v>
      </c>
      <c r="C32" s="84" t="s">
        <v>262</v>
      </c>
      <c r="D32" s="84" t="s">
        <v>263</v>
      </c>
      <c r="E32" s="84">
        <v>5050041695</v>
      </c>
      <c r="F32" s="75"/>
      <c r="G32" s="73"/>
      <c r="H32" s="84">
        <v>1</v>
      </c>
      <c r="I32" s="94" t="s">
        <v>287</v>
      </c>
      <c r="J32" s="73"/>
      <c r="K32" s="73"/>
      <c r="L32" s="94"/>
      <c r="M32" s="97"/>
      <c r="N32" s="73"/>
      <c r="O32" s="84"/>
      <c r="P32" s="73"/>
      <c r="Q32" s="94"/>
      <c r="R32" s="94"/>
      <c r="S32" s="94"/>
      <c r="T32" s="94"/>
      <c r="U32" s="99"/>
      <c r="V32" s="99">
        <v>1.4</v>
      </c>
    </row>
    <row r="33" spans="2:22" s="76" customFormat="1" ht="30" customHeight="1">
      <c r="B33" s="81" t="s">
        <v>208</v>
      </c>
      <c r="C33" s="84" t="s">
        <v>264</v>
      </c>
      <c r="D33" s="86" t="s">
        <v>265</v>
      </c>
      <c r="E33" s="86" t="s">
        <v>279</v>
      </c>
      <c r="F33" s="75"/>
      <c r="G33" s="73"/>
      <c r="H33" s="84">
        <v>1</v>
      </c>
      <c r="I33" s="94" t="s">
        <v>287</v>
      </c>
      <c r="J33" s="73"/>
      <c r="K33" s="73"/>
      <c r="L33" s="94"/>
      <c r="M33" s="97"/>
      <c r="N33" s="73"/>
      <c r="O33" s="84"/>
      <c r="P33" s="73"/>
      <c r="Q33" s="94"/>
      <c r="R33" s="94"/>
      <c r="S33" s="94"/>
      <c r="T33" s="94"/>
      <c r="U33" s="99"/>
      <c r="V33" s="99"/>
    </row>
    <row r="34" spans="2:22" s="76" customFormat="1" ht="30" customHeight="1">
      <c r="B34" s="81" t="s">
        <v>209</v>
      </c>
      <c r="C34" s="84" t="s">
        <v>266</v>
      </c>
      <c r="D34" s="87" t="s">
        <v>267</v>
      </c>
      <c r="E34" s="86" t="s">
        <v>280</v>
      </c>
      <c r="F34" s="75"/>
      <c r="G34" s="73"/>
      <c r="H34" s="84" t="s">
        <v>283</v>
      </c>
      <c r="I34" s="94" t="s">
        <v>287</v>
      </c>
      <c r="J34" s="73"/>
      <c r="K34" s="73"/>
      <c r="L34" s="94"/>
      <c r="M34" s="97"/>
      <c r="N34" s="73"/>
      <c r="O34" s="84"/>
      <c r="P34" s="73"/>
      <c r="Q34" s="94"/>
      <c r="R34" s="94"/>
      <c r="S34" s="94"/>
      <c r="T34" s="94"/>
      <c r="U34" s="99"/>
      <c r="V34" s="99"/>
    </row>
    <row r="35" spans="2:22" s="76" customFormat="1" ht="30" customHeight="1">
      <c r="B35" s="81" t="s">
        <v>210</v>
      </c>
      <c r="C35" s="84" t="s">
        <v>268</v>
      </c>
      <c r="D35" s="87" t="s">
        <v>269</v>
      </c>
      <c r="E35" s="86">
        <v>5050041243</v>
      </c>
      <c r="F35" s="75"/>
      <c r="G35" s="73"/>
      <c r="H35" s="84">
        <v>1</v>
      </c>
      <c r="I35" s="94" t="s">
        <v>287</v>
      </c>
      <c r="J35" s="73"/>
      <c r="K35" s="73"/>
      <c r="L35" s="94"/>
      <c r="M35" s="97"/>
      <c r="N35" s="73"/>
      <c r="O35" s="84"/>
      <c r="P35" s="73"/>
      <c r="Q35" s="94"/>
      <c r="R35" s="94"/>
      <c r="S35" s="94"/>
      <c r="T35" s="94"/>
      <c r="U35" s="99"/>
      <c r="V35" s="99">
        <v>6.4000000000000003E-3</v>
      </c>
    </row>
    <row r="36" spans="2:22" s="76" customFormat="1" ht="30" customHeight="1">
      <c r="B36" s="81" t="s">
        <v>211</v>
      </c>
      <c r="C36" s="88" t="s">
        <v>270</v>
      </c>
      <c r="D36" s="85" t="s">
        <v>271</v>
      </c>
      <c r="E36" s="84">
        <v>5050020251</v>
      </c>
      <c r="F36" s="75"/>
      <c r="G36" s="73"/>
      <c r="H36" s="84" t="s">
        <v>284</v>
      </c>
      <c r="I36" s="94" t="s">
        <v>287</v>
      </c>
      <c r="J36" s="73"/>
      <c r="K36" s="73"/>
      <c r="L36" s="94"/>
      <c r="M36" s="97"/>
      <c r="N36" s="73"/>
      <c r="O36" s="84"/>
      <c r="P36" s="73"/>
      <c r="Q36" s="94"/>
      <c r="R36" s="94"/>
      <c r="S36" s="94"/>
      <c r="T36" s="94"/>
      <c r="U36" s="99"/>
      <c r="V36" s="99">
        <v>51</v>
      </c>
    </row>
    <row r="37" spans="2:22" s="76" customFormat="1" ht="30" customHeight="1">
      <c r="B37" s="81" t="s">
        <v>212</v>
      </c>
      <c r="C37" s="88" t="s">
        <v>272</v>
      </c>
      <c r="D37" s="85" t="s">
        <v>273</v>
      </c>
      <c r="E37" s="84">
        <v>5050010572</v>
      </c>
      <c r="F37" s="75"/>
      <c r="G37" s="73"/>
      <c r="H37" s="84" t="s">
        <v>284</v>
      </c>
      <c r="I37" s="94" t="s">
        <v>287</v>
      </c>
      <c r="J37" s="73"/>
      <c r="K37" s="73"/>
      <c r="L37" s="94"/>
      <c r="M37" s="97"/>
      <c r="N37" s="73"/>
      <c r="O37" s="84"/>
      <c r="P37" s="73"/>
      <c r="Q37" s="94"/>
      <c r="R37" s="94"/>
      <c r="S37" s="94"/>
      <c r="T37" s="94"/>
      <c r="U37" s="99"/>
      <c r="V37" s="99">
        <v>640</v>
      </c>
    </row>
    <row r="38" spans="2:22" s="76" customFormat="1" ht="30" customHeight="1">
      <c r="B38" s="81" t="s">
        <v>213</v>
      </c>
      <c r="C38" s="86" t="s">
        <v>274</v>
      </c>
      <c r="D38" s="89" t="s">
        <v>275</v>
      </c>
      <c r="E38" s="86" t="s">
        <v>281</v>
      </c>
      <c r="F38" s="75"/>
      <c r="G38" s="73"/>
      <c r="H38" s="84" t="s">
        <v>285</v>
      </c>
      <c r="I38" s="94" t="s">
        <v>287</v>
      </c>
      <c r="J38" s="73"/>
      <c r="K38" s="73"/>
      <c r="L38" s="94"/>
      <c r="M38" s="97"/>
      <c r="N38" s="73"/>
      <c r="O38" s="84"/>
      <c r="P38" s="73"/>
      <c r="Q38" s="94"/>
      <c r="R38" s="94"/>
      <c r="S38" s="94"/>
      <c r="T38" s="94"/>
      <c r="U38" s="99"/>
      <c r="V38" s="99" t="s">
        <v>363</v>
      </c>
    </row>
    <row r="39" spans="2:22" s="76" customFormat="1" ht="30" customHeight="1">
      <c r="B39" s="78"/>
      <c r="C39" s="74"/>
      <c r="D39" s="74"/>
      <c r="E39" s="74"/>
      <c r="F39" s="75"/>
      <c r="G39" s="73"/>
      <c r="H39" s="75"/>
      <c r="I39" s="75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 t="s">
        <v>363</v>
      </c>
    </row>
    <row r="40" spans="2:22" s="76" customFormat="1" ht="30" customHeight="1">
      <c r="B40" s="78"/>
      <c r="C40" s="74"/>
      <c r="D40" s="74"/>
      <c r="E40" s="74"/>
      <c r="F40" s="75"/>
      <c r="G40" s="73"/>
      <c r="H40" s="75"/>
      <c r="I40" s="75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 t="s">
        <v>363</v>
      </c>
    </row>
    <row r="41" spans="2:22" s="76" customFormat="1" ht="30" customHeight="1">
      <c r="B41" s="78"/>
      <c r="C41" s="74"/>
      <c r="D41" s="74"/>
      <c r="E41" s="74"/>
      <c r="F41" s="75"/>
      <c r="G41" s="73"/>
      <c r="H41" s="75"/>
      <c r="I41" s="75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 t="s">
        <v>363</v>
      </c>
    </row>
    <row r="42" spans="2:22" s="76" customFormat="1" ht="30" customHeight="1">
      <c r="B42" s="78"/>
      <c r="C42" s="74"/>
      <c r="D42" s="74"/>
      <c r="E42" s="74"/>
      <c r="F42" s="75"/>
      <c r="G42" s="73"/>
      <c r="H42" s="75"/>
      <c r="I42" s="75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 t="s">
        <v>363</v>
      </c>
    </row>
    <row r="43" spans="2:22" s="76" customFormat="1" ht="30" customHeight="1">
      <c r="B43" s="78"/>
      <c r="C43" s="74"/>
      <c r="D43" s="74"/>
      <c r="E43" s="74"/>
      <c r="F43" s="75"/>
      <c r="G43" s="73"/>
      <c r="H43" s="75"/>
      <c r="I43" s="75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 t="s">
        <v>363</v>
      </c>
    </row>
    <row r="44" spans="2:22" s="76" customFormat="1" ht="30" customHeight="1">
      <c r="B44" s="78"/>
      <c r="C44" s="74"/>
      <c r="D44" s="74"/>
      <c r="E44" s="74"/>
      <c r="F44" s="75"/>
      <c r="G44" s="73"/>
      <c r="H44" s="75"/>
      <c r="I44" s="75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 t="s">
        <v>363</v>
      </c>
    </row>
    <row r="45" spans="2:22" s="76" customFormat="1" ht="30" customHeight="1">
      <c r="B45" s="78"/>
      <c r="C45" s="74"/>
      <c r="D45" s="74"/>
      <c r="E45" s="74"/>
      <c r="F45" s="75"/>
      <c r="G45" s="73"/>
      <c r="H45" s="75"/>
      <c r="I45" s="75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 t="s">
        <v>363</v>
      </c>
    </row>
    <row r="46" spans="2:22" s="76" customFormat="1" ht="30" customHeight="1">
      <c r="B46" s="78"/>
      <c r="C46" s="74"/>
      <c r="D46" s="74"/>
      <c r="E46" s="74"/>
      <c r="F46" s="75"/>
      <c r="G46" s="73"/>
      <c r="H46" s="75"/>
      <c r="I46" s="75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 t="s">
        <v>363</v>
      </c>
    </row>
    <row r="47" spans="2:22" s="76" customFormat="1" ht="30" customHeight="1">
      <c r="B47" s="78"/>
      <c r="C47" s="74"/>
      <c r="D47" s="74"/>
      <c r="E47" s="74"/>
      <c r="F47" s="75"/>
      <c r="G47" s="73"/>
      <c r="H47" s="75"/>
      <c r="I47" s="75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 t="s">
        <v>363</v>
      </c>
    </row>
    <row r="48" spans="2:22" s="76" customFormat="1" ht="30" customHeight="1">
      <c r="B48" s="78"/>
      <c r="C48" s="74"/>
      <c r="D48" s="74"/>
      <c r="E48" s="74"/>
      <c r="F48" s="75"/>
      <c r="G48" s="73"/>
      <c r="H48" s="75"/>
      <c r="I48" s="75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 t="s">
        <v>363</v>
      </c>
    </row>
  </sheetData>
  <autoFilter ref="B4:X48" xr:uid="{3F430324-C0B9-4055-90F0-D19DCB0FDE72}"/>
  <mergeCells count="4">
    <mergeCell ref="B1:C2"/>
    <mergeCell ref="I2:J2"/>
    <mergeCell ref="F2:H2"/>
    <mergeCell ref="D1:I1"/>
  </mergeCells>
  <phoneticPr fontId="10" type="noConversion"/>
  <dataValidations xWindow="1734" yWindow="639" count="3">
    <dataValidation type="list" allowBlank="1" showInputMessage="1" showErrorMessage="1" sqref="K5:K48 P5:P48" xr:uid="{C3568637-EB3A-4ADE-9145-0AF7A5FE9208}">
      <formula1>"Y,N"</formula1>
    </dataValidation>
    <dataValidation type="list" allowBlank="1" showInputMessage="1" showErrorMessage="1" sqref="I39:I48" xr:uid="{CF285513-FA59-41B9-BBC4-339FFB227FCF}">
      <formula1>"M,P,C"</formula1>
    </dataValidation>
    <dataValidation type="list" allowBlank="1" showInputMessage="1" showErrorMessage="1" sqref="J5:J48" xr:uid="{6FE88130-12AC-49F8-8650-959CDDC6B498}">
      <formula1>"pc,m,L,kg"</formula1>
    </dataValidation>
  </dataValidations>
  <printOptions horizontalCentered="1" verticalCentered="1"/>
  <pageMargins left="0.19685039370078741" right="0.27559055118110237" top="0.31496062992125984" bottom="0.62992125984251968" header="0.19685039370078741" footer="0.51181102362204722"/>
  <pageSetup paperSize="9" scale="79" orientation="landscape" r:id="rId1"/>
  <headerFooter alignWithMargins="0">
    <oddFooter>&amp;R&amp;6Pour information, imprimé le &amp;D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xWindow="1734" yWindow="639" count="1">
        <x14:dataValidation type="list" allowBlank="1" showInputMessage="1" showErrorMessage="1" xr:uid="{E46636D6-1334-4EDB-A8F4-C234B0A5F6F2}">
          <x14:formula1>
            <xm:f>'Material DB (DFT)'!$B:$B</xm:f>
          </x14:formula1>
          <xm:sqref>Q39:Q48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3FDE-2A86-45BB-9D8D-C6FAE171D00C}">
  <dimension ref="B1:I48"/>
  <sheetViews>
    <sheetView zoomScaleNormal="100" workbookViewId="0">
      <selection activeCell="D41" sqref="D41:E41"/>
    </sheetView>
  </sheetViews>
  <sheetFormatPr defaultColWidth="10.6328125" defaultRowHeight="12.5"/>
  <cols>
    <col min="1" max="1" width="2" style="48" customWidth="1"/>
    <col min="2" max="5" width="19.36328125" style="48" customWidth="1"/>
    <col min="6" max="6" width="25.54296875" style="48" customWidth="1"/>
    <col min="7" max="9" width="19.36328125" style="48" customWidth="1"/>
    <col min="10" max="16384" width="10.6328125" style="48"/>
  </cols>
  <sheetData>
    <row r="1" spans="2:9" ht="13" thickBot="1"/>
    <row r="2" spans="2:9" ht="15.5">
      <c r="B2" s="154" t="s">
        <v>112</v>
      </c>
      <c r="C2" s="155"/>
      <c r="D2" s="155"/>
      <c r="E2" s="155"/>
      <c r="F2" s="155"/>
      <c r="G2" s="155"/>
      <c r="H2" s="155"/>
      <c r="I2" s="156"/>
    </row>
    <row r="3" spans="2:9" ht="14">
      <c r="B3" s="157" t="s">
        <v>31</v>
      </c>
      <c r="C3" s="158"/>
      <c r="D3" s="158" t="s">
        <v>32</v>
      </c>
      <c r="E3" s="158"/>
      <c r="F3" s="158" t="s">
        <v>33</v>
      </c>
      <c r="G3" s="158"/>
      <c r="H3" s="158" t="s">
        <v>34</v>
      </c>
      <c r="I3" s="159"/>
    </row>
    <row r="4" spans="2:9">
      <c r="B4" s="160" t="s">
        <v>122</v>
      </c>
      <c r="C4" s="105"/>
      <c r="D4" s="143" t="s">
        <v>121</v>
      </c>
      <c r="E4" s="143"/>
      <c r="F4" s="105" t="s">
        <v>35</v>
      </c>
      <c r="G4" s="105"/>
      <c r="H4" s="105" t="s">
        <v>36</v>
      </c>
      <c r="I4" s="161"/>
    </row>
    <row r="5" spans="2:9" ht="13" thickBot="1">
      <c r="B5" s="162" t="s">
        <v>37</v>
      </c>
      <c r="C5" s="163"/>
      <c r="D5" s="163"/>
      <c r="E5" s="163"/>
      <c r="F5" s="163"/>
      <c r="G5" s="163"/>
      <c r="H5" s="163"/>
      <c r="I5" s="164"/>
    </row>
    <row r="6" spans="2:9" ht="13" thickBot="1"/>
    <row r="7" spans="2:9" ht="15.5">
      <c r="B7" s="154" t="s">
        <v>135</v>
      </c>
      <c r="C7" s="155"/>
      <c r="D7" s="155"/>
      <c r="E7" s="155"/>
      <c r="F7" s="155"/>
      <c r="G7" s="155"/>
      <c r="H7" s="155"/>
      <c r="I7" s="156"/>
    </row>
    <row r="8" spans="2:9" ht="59.4" customHeight="1">
      <c r="B8" s="145"/>
      <c r="C8" s="146"/>
      <c r="D8" s="146"/>
      <c r="E8" s="146"/>
      <c r="F8" s="146"/>
      <c r="G8" s="146"/>
      <c r="H8" s="146"/>
      <c r="I8" s="147"/>
    </row>
    <row r="9" spans="2:9" ht="59.4" customHeight="1">
      <c r="B9" s="148"/>
      <c r="C9" s="149"/>
      <c r="D9" s="149"/>
      <c r="E9" s="149"/>
      <c r="F9" s="149"/>
      <c r="G9" s="149"/>
      <c r="H9" s="149"/>
      <c r="I9" s="150"/>
    </row>
    <row r="10" spans="2:9" ht="59.4" customHeight="1">
      <c r="B10" s="148"/>
      <c r="C10" s="149"/>
      <c r="D10" s="149"/>
      <c r="E10" s="149"/>
      <c r="F10" s="149"/>
      <c r="G10" s="149"/>
      <c r="H10" s="149"/>
      <c r="I10" s="150"/>
    </row>
    <row r="11" spans="2:9" ht="13" thickBot="1">
      <c r="B11" s="151"/>
      <c r="C11" s="152"/>
      <c r="D11" s="152"/>
      <c r="E11" s="152"/>
      <c r="F11" s="152"/>
      <c r="G11" s="152"/>
      <c r="H11" s="152"/>
      <c r="I11" s="153"/>
    </row>
    <row r="12" spans="2:9" ht="15.5">
      <c r="B12" s="154" t="s">
        <v>183</v>
      </c>
      <c r="C12" s="155"/>
      <c r="D12" s="155"/>
      <c r="E12" s="155"/>
      <c r="F12" s="155"/>
      <c r="G12" s="155"/>
      <c r="H12" s="155"/>
      <c r="I12" s="156"/>
    </row>
    <row r="13" spans="2:9" ht="13">
      <c r="B13" s="165" t="s">
        <v>38</v>
      </c>
      <c r="C13" s="166"/>
      <c r="D13" s="166"/>
      <c r="E13" s="166"/>
      <c r="F13" s="166" t="s">
        <v>39</v>
      </c>
      <c r="G13" s="166"/>
      <c r="H13" s="166"/>
      <c r="I13" s="175"/>
    </row>
    <row r="14" spans="2:9">
      <c r="B14" s="160" t="s">
        <v>185</v>
      </c>
      <c r="C14" s="105"/>
      <c r="D14" s="105"/>
      <c r="E14" s="105"/>
      <c r="F14" s="105" t="s">
        <v>184</v>
      </c>
      <c r="G14" s="105"/>
      <c r="H14" s="105"/>
      <c r="I14" s="161"/>
    </row>
    <row r="15" spans="2:9">
      <c r="B15" s="167" t="s">
        <v>40</v>
      </c>
      <c r="C15" s="168"/>
      <c r="D15" s="168"/>
      <c r="E15" s="168"/>
      <c r="F15" s="168"/>
      <c r="G15" s="168"/>
      <c r="H15" s="168"/>
      <c r="I15" s="169"/>
    </row>
    <row r="16" spans="2:9">
      <c r="B16" s="167" t="s">
        <v>41</v>
      </c>
      <c r="C16" s="168"/>
      <c r="D16" s="168"/>
      <c r="E16" s="168"/>
      <c r="F16" s="168"/>
      <c r="G16" s="168"/>
      <c r="H16" s="168"/>
      <c r="I16" s="169"/>
    </row>
    <row r="17" spans="2:9" ht="13" thickBot="1">
      <c r="B17" s="170" t="s">
        <v>42</v>
      </c>
      <c r="C17" s="171"/>
      <c r="D17" s="171"/>
      <c r="E17" s="171"/>
      <c r="F17" s="171"/>
      <c r="G17" s="171"/>
      <c r="H17" s="171"/>
      <c r="I17" s="172"/>
    </row>
    <row r="18" spans="2:9" ht="13" thickBot="1"/>
    <row r="19" spans="2:9" ht="15.5">
      <c r="B19" s="154" t="s">
        <v>123</v>
      </c>
      <c r="C19" s="155"/>
      <c r="D19" s="155"/>
      <c r="E19" s="155"/>
      <c r="F19" s="155"/>
      <c r="G19" s="155"/>
      <c r="H19" s="155"/>
      <c r="I19" s="156"/>
    </row>
    <row r="20" spans="2:9" ht="15.5">
      <c r="B20" s="186" t="s">
        <v>43</v>
      </c>
      <c r="C20" s="173"/>
      <c r="D20" s="173" t="s">
        <v>44</v>
      </c>
      <c r="E20" s="173"/>
      <c r="F20" s="50" t="s">
        <v>130</v>
      </c>
      <c r="G20" s="173" t="s">
        <v>45</v>
      </c>
      <c r="H20" s="173"/>
      <c r="I20" s="174"/>
    </row>
    <row r="21" spans="2:9" ht="68.25" customHeight="1">
      <c r="B21" s="142" t="s">
        <v>9</v>
      </c>
      <c r="C21" s="143"/>
      <c r="D21" s="143" t="s">
        <v>124</v>
      </c>
      <c r="E21" s="143"/>
      <c r="F21" s="49" t="s">
        <v>122</v>
      </c>
      <c r="G21" s="143" t="s">
        <v>46</v>
      </c>
      <c r="H21" s="143"/>
      <c r="I21" s="144"/>
    </row>
    <row r="22" spans="2:9" ht="71.25" customHeight="1">
      <c r="B22" s="142" t="s">
        <v>10</v>
      </c>
      <c r="C22" s="143"/>
      <c r="D22" s="143" t="s">
        <v>47</v>
      </c>
      <c r="E22" s="143"/>
      <c r="F22" s="49" t="s">
        <v>118</v>
      </c>
      <c r="G22" s="143" t="s">
        <v>134</v>
      </c>
      <c r="H22" s="143"/>
      <c r="I22" s="144"/>
    </row>
    <row r="23" spans="2:9" ht="40.5" customHeight="1">
      <c r="B23" s="142" t="s">
        <v>11</v>
      </c>
      <c r="C23" s="143"/>
      <c r="D23" s="143" t="s">
        <v>48</v>
      </c>
      <c r="E23" s="143"/>
      <c r="F23" s="49" t="s">
        <v>122</v>
      </c>
      <c r="G23" s="143" t="s">
        <v>49</v>
      </c>
      <c r="H23" s="143"/>
      <c r="I23" s="144"/>
    </row>
    <row r="24" spans="2:9">
      <c r="B24" s="142" t="s">
        <v>5</v>
      </c>
      <c r="C24" s="143"/>
      <c r="D24" s="143" t="s">
        <v>59</v>
      </c>
      <c r="E24" s="143"/>
      <c r="F24" s="49" t="s">
        <v>122</v>
      </c>
      <c r="G24" s="143" t="s">
        <v>58</v>
      </c>
      <c r="H24" s="143"/>
      <c r="I24" s="144"/>
    </row>
    <row r="25" spans="2:9" ht="45.75" customHeight="1">
      <c r="B25" s="142" t="s">
        <v>4</v>
      </c>
      <c r="C25" s="143"/>
      <c r="D25" s="143" t="s">
        <v>57</v>
      </c>
      <c r="E25" s="143"/>
      <c r="F25" s="49" t="s">
        <v>171</v>
      </c>
      <c r="G25" s="143" t="s">
        <v>58</v>
      </c>
      <c r="H25" s="143"/>
      <c r="I25" s="144"/>
    </row>
    <row r="26" spans="2:9" ht="39.65" customHeight="1">
      <c r="B26" s="142" t="s">
        <v>15</v>
      </c>
      <c r="C26" s="143"/>
      <c r="D26" s="143" t="s">
        <v>55</v>
      </c>
      <c r="E26" s="143"/>
      <c r="F26" s="49" t="s">
        <v>115</v>
      </c>
      <c r="G26" s="143" t="s">
        <v>56</v>
      </c>
      <c r="H26" s="143"/>
      <c r="I26" s="144"/>
    </row>
    <row r="27" spans="2:9" ht="54" customHeight="1">
      <c r="B27" s="142" t="s">
        <v>125</v>
      </c>
      <c r="C27" s="143"/>
      <c r="D27" s="143" t="s">
        <v>126</v>
      </c>
      <c r="E27" s="143"/>
      <c r="F27" s="49" t="s">
        <v>117</v>
      </c>
      <c r="G27" s="143" t="s">
        <v>127</v>
      </c>
      <c r="H27" s="143"/>
      <c r="I27" s="144"/>
    </row>
    <row r="28" spans="2:9" ht="54" customHeight="1">
      <c r="B28" s="142" t="s">
        <v>187</v>
      </c>
      <c r="C28" s="143"/>
      <c r="D28" s="143" t="s">
        <v>189</v>
      </c>
      <c r="E28" s="143"/>
      <c r="F28" s="49" t="s">
        <v>114</v>
      </c>
      <c r="G28" s="143" t="s">
        <v>190</v>
      </c>
      <c r="H28" s="143"/>
      <c r="I28" s="144"/>
    </row>
    <row r="29" spans="2:9" ht="54" customHeight="1">
      <c r="B29" s="142" t="s">
        <v>188</v>
      </c>
      <c r="C29" s="143"/>
      <c r="D29" s="143"/>
      <c r="E29" s="143"/>
      <c r="F29" s="49" t="s">
        <v>114</v>
      </c>
      <c r="G29" s="143"/>
      <c r="H29" s="143"/>
      <c r="I29" s="144"/>
    </row>
    <row r="30" spans="2:9" ht="54" customHeight="1">
      <c r="B30" s="142" t="s">
        <v>139</v>
      </c>
      <c r="C30" s="143"/>
      <c r="D30" s="143" t="s">
        <v>163</v>
      </c>
      <c r="E30" s="143"/>
      <c r="F30" s="49" t="s">
        <v>182</v>
      </c>
      <c r="G30" s="143"/>
      <c r="H30" s="143"/>
      <c r="I30" s="144"/>
    </row>
    <row r="31" spans="2:9" ht="43.25" customHeight="1">
      <c r="B31" s="142" t="s">
        <v>12</v>
      </c>
      <c r="C31" s="143"/>
      <c r="D31" s="143"/>
      <c r="E31" s="143"/>
      <c r="F31" s="49" t="s">
        <v>119</v>
      </c>
      <c r="G31" s="143" t="s">
        <v>50</v>
      </c>
      <c r="H31" s="143"/>
      <c r="I31" s="144"/>
    </row>
    <row r="32" spans="2:9" ht="39.65" customHeight="1">
      <c r="B32" s="142" t="s">
        <v>13</v>
      </c>
      <c r="C32" s="143"/>
      <c r="D32" s="143" t="s">
        <v>51</v>
      </c>
      <c r="E32" s="143"/>
      <c r="F32" s="49" t="s">
        <v>113</v>
      </c>
      <c r="G32" s="143" t="s">
        <v>52</v>
      </c>
      <c r="H32" s="143"/>
      <c r="I32" s="144"/>
    </row>
    <row r="33" spans="2:9" ht="26.4" customHeight="1">
      <c r="B33" s="142" t="s">
        <v>14</v>
      </c>
      <c r="C33" s="143"/>
      <c r="D33" s="143" t="s">
        <v>53</v>
      </c>
      <c r="E33" s="143"/>
      <c r="F33" s="49" t="s">
        <v>115</v>
      </c>
      <c r="G33" s="143" t="s">
        <v>54</v>
      </c>
      <c r="H33" s="143"/>
      <c r="I33" s="144"/>
    </row>
    <row r="34" spans="2:9" ht="25">
      <c r="B34" s="142" t="s">
        <v>16</v>
      </c>
      <c r="C34" s="143"/>
      <c r="D34" s="143" t="s">
        <v>60</v>
      </c>
      <c r="E34" s="143"/>
      <c r="F34" s="49" t="s">
        <v>119</v>
      </c>
      <c r="G34" s="143"/>
      <c r="H34" s="143"/>
      <c r="I34" s="144"/>
    </row>
    <row r="35" spans="2:9">
      <c r="B35" s="142" t="s">
        <v>161</v>
      </c>
      <c r="C35" s="143"/>
      <c r="D35" s="143" t="s">
        <v>178</v>
      </c>
      <c r="E35" s="143"/>
      <c r="F35" s="49" t="s">
        <v>113</v>
      </c>
      <c r="G35" s="143"/>
      <c r="H35" s="143"/>
      <c r="I35" s="144"/>
    </row>
    <row r="36" spans="2:9" ht="25">
      <c r="B36" s="142" t="s">
        <v>17</v>
      </c>
      <c r="C36" s="143"/>
      <c r="D36" s="143" t="s">
        <v>61</v>
      </c>
      <c r="E36" s="143"/>
      <c r="F36" s="49" t="s">
        <v>119</v>
      </c>
      <c r="G36" s="143" t="s">
        <v>138</v>
      </c>
      <c r="H36" s="143"/>
      <c r="I36" s="144"/>
    </row>
    <row r="37" spans="2:9">
      <c r="B37" s="142" t="s">
        <v>18</v>
      </c>
      <c r="C37" s="143"/>
      <c r="D37" s="143" t="s">
        <v>136</v>
      </c>
      <c r="E37" s="143"/>
      <c r="F37" s="49" t="s">
        <v>115</v>
      </c>
      <c r="G37" s="143" t="s">
        <v>137</v>
      </c>
      <c r="H37" s="143"/>
      <c r="I37" s="144"/>
    </row>
    <row r="38" spans="2:9" ht="25">
      <c r="B38" s="142" t="s">
        <v>19</v>
      </c>
      <c r="C38" s="143"/>
      <c r="D38" s="143" t="s">
        <v>62</v>
      </c>
      <c r="E38" s="143"/>
      <c r="F38" s="49" t="s">
        <v>119</v>
      </c>
      <c r="G38" s="143"/>
      <c r="H38" s="143"/>
      <c r="I38" s="144"/>
    </row>
    <row r="39" spans="2:9" ht="25">
      <c r="B39" s="142" t="s">
        <v>20</v>
      </c>
      <c r="C39" s="143"/>
      <c r="D39" s="143" t="s">
        <v>63</v>
      </c>
      <c r="E39" s="143"/>
      <c r="F39" s="49" t="s">
        <v>119</v>
      </c>
      <c r="G39" s="143"/>
      <c r="H39" s="143"/>
      <c r="I39" s="144"/>
    </row>
    <row r="40" spans="2:9" ht="35" customHeight="1">
      <c r="B40" s="142" t="s">
        <v>128</v>
      </c>
      <c r="C40" s="143"/>
      <c r="D40" s="143"/>
      <c r="E40" s="143"/>
      <c r="F40" s="49" t="s">
        <v>119</v>
      </c>
      <c r="G40" s="143"/>
      <c r="H40" s="143"/>
      <c r="I40" s="144"/>
    </row>
    <row r="41" spans="2:9" ht="35" customHeight="1" thickBot="1">
      <c r="B41" s="139" t="s">
        <v>129</v>
      </c>
      <c r="C41" s="140"/>
      <c r="D41" s="140"/>
      <c r="E41" s="140"/>
      <c r="F41" s="51" t="s">
        <v>120</v>
      </c>
      <c r="G41" s="140"/>
      <c r="H41" s="140"/>
      <c r="I41" s="141"/>
    </row>
    <row r="42" spans="2:9" ht="13" thickBot="1"/>
    <row r="43" spans="2:9" ht="15.5">
      <c r="B43" s="181" t="s">
        <v>164</v>
      </c>
      <c r="C43" s="182"/>
      <c r="D43" s="183"/>
      <c r="E43" s="184" t="s">
        <v>44</v>
      </c>
      <c r="F43" s="183"/>
      <c r="G43" s="184" t="s">
        <v>45</v>
      </c>
      <c r="H43" s="182"/>
      <c r="I43" s="185"/>
    </row>
    <row r="44" spans="2:9">
      <c r="B44" s="160" t="s">
        <v>174</v>
      </c>
      <c r="C44" s="105"/>
      <c r="D44" s="105"/>
      <c r="E44" s="176" t="s">
        <v>175</v>
      </c>
      <c r="F44" s="177"/>
      <c r="G44" s="176" t="s">
        <v>176</v>
      </c>
      <c r="H44" s="168"/>
      <c r="I44" s="169"/>
    </row>
    <row r="45" spans="2:9">
      <c r="B45" s="160" t="s">
        <v>133</v>
      </c>
      <c r="C45" s="105"/>
      <c r="D45" s="105"/>
      <c r="E45" s="176" t="s">
        <v>173</v>
      </c>
      <c r="F45" s="177"/>
      <c r="G45" s="176" t="s">
        <v>177</v>
      </c>
      <c r="H45" s="168"/>
      <c r="I45" s="169"/>
    </row>
    <row r="46" spans="2:9" ht="30.75" customHeight="1">
      <c r="B46" s="160" t="s">
        <v>6</v>
      </c>
      <c r="C46" s="105"/>
      <c r="D46" s="105"/>
      <c r="E46" s="176" t="s">
        <v>64</v>
      </c>
      <c r="F46" s="177"/>
      <c r="G46" s="178" t="s">
        <v>179</v>
      </c>
      <c r="H46" s="179"/>
      <c r="I46" s="180"/>
    </row>
    <row r="47" spans="2:9" ht="43.75" customHeight="1">
      <c r="B47" s="160" t="s">
        <v>169</v>
      </c>
      <c r="C47" s="105"/>
      <c r="D47" s="105"/>
      <c r="E47" s="176" t="s">
        <v>170</v>
      </c>
      <c r="F47" s="177"/>
      <c r="G47" s="178" t="s">
        <v>180</v>
      </c>
      <c r="H47" s="168"/>
      <c r="I47" s="169"/>
    </row>
    <row r="48" spans="2:9" ht="28.75" customHeight="1">
      <c r="B48" s="160" t="s">
        <v>165</v>
      </c>
      <c r="C48" s="105"/>
      <c r="D48" s="105"/>
      <c r="E48" s="176" t="s">
        <v>166</v>
      </c>
      <c r="F48" s="177"/>
      <c r="G48" s="176" t="s">
        <v>167</v>
      </c>
      <c r="H48" s="168"/>
      <c r="I48" s="169"/>
    </row>
  </sheetData>
  <mergeCells count="105">
    <mergeCell ref="B25:C25"/>
    <mergeCell ref="B26:C26"/>
    <mergeCell ref="D23:E23"/>
    <mergeCell ref="D24:E24"/>
    <mergeCell ref="D25:E25"/>
    <mergeCell ref="D26:E26"/>
    <mergeCell ref="B20:C20"/>
    <mergeCell ref="B21:C21"/>
    <mergeCell ref="B22:C22"/>
    <mergeCell ref="B31:C31"/>
    <mergeCell ref="B28:C28"/>
    <mergeCell ref="D28:E28"/>
    <mergeCell ref="G28:I28"/>
    <mergeCell ref="B29:C29"/>
    <mergeCell ref="D29:E29"/>
    <mergeCell ref="G29:I29"/>
    <mergeCell ref="B30:C30"/>
    <mergeCell ref="D30:E30"/>
    <mergeCell ref="G30:I30"/>
    <mergeCell ref="F13:I13"/>
    <mergeCell ref="B14:E14"/>
    <mergeCell ref="F14:I14"/>
    <mergeCell ref="B48:D48"/>
    <mergeCell ref="E48:F48"/>
    <mergeCell ref="G48:I48"/>
    <mergeCell ref="B46:D46"/>
    <mergeCell ref="E46:F46"/>
    <mergeCell ref="G46:I46"/>
    <mergeCell ref="G35:I35"/>
    <mergeCell ref="B36:C36"/>
    <mergeCell ref="B47:D47"/>
    <mergeCell ref="E47:F47"/>
    <mergeCell ref="G47:I47"/>
    <mergeCell ref="B45:D45"/>
    <mergeCell ref="E45:F45"/>
    <mergeCell ref="G45:I45"/>
    <mergeCell ref="G39:I39"/>
    <mergeCell ref="B43:D43"/>
    <mergeCell ref="E43:F43"/>
    <mergeCell ref="G43:I43"/>
    <mergeCell ref="B44:D44"/>
    <mergeCell ref="E44:F44"/>
    <mergeCell ref="G44:I44"/>
    <mergeCell ref="B15:I15"/>
    <mergeCell ref="B16:I16"/>
    <mergeCell ref="B17:I17"/>
    <mergeCell ref="B19:I19"/>
    <mergeCell ref="D20:E20"/>
    <mergeCell ref="D21:E21"/>
    <mergeCell ref="G23:I23"/>
    <mergeCell ref="G24:I24"/>
    <mergeCell ref="G21:I21"/>
    <mergeCell ref="G22:I22"/>
    <mergeCell ref="D22:E22"/>
    <mergeCell ref="G20:I20"/>
    <mergeCell ref="B23:C23"/>
    <mergeCell ref="B24:C24"/>
    <mergeCell ref="G25:I25"/>
    <mergeCell ref="G26:I26"/>
    <mergeCell ref="D32:E32"/>
    <mergeCell ref="D36:E36"/>
    <mergeCell ref="G36:I36"/>
    <mergeCell ref="B8:I11"/>
    <mergeCell ref="B2:I2"/>
    <mergeCell ref="B3:C3"/>
    <mergeCell ref="D3:E3"/>
    <mergeCell ref="F3:G3"/>
    <mergeCell ref="H3:I3"/>
    <mergeCell ref="B4:C4"/>
    <mergeCell ref="D4:E4"/>
    <mergeCell ref="F4:G4"/>
    <mergeCell ref="H4:I4"/>
    <mergeCell ref="B5:I5"/>
    <mergeCell ref="B7:I7"/>
    <mergeCell ref="B12:I12"/>
    <mergeCell ref="B13:E13"/>
    <mergeCell ref="D27:E27"/>
    <mergeCell ref="D31:E31"/>
    <mergeCell ref="B27:C27"/>
    <mergeCell ref="G27:I27"/>
    <mergeCell ref="G31:I31"/>
    <mergeCell ref="B41:C41"/>
    <mergeCell ref="D41:E41"/>
    <mergeCell ref="G41:I41"/>
    <mergeCell ref="B40:C40"/>
    <mergeCell ref="G33:I33"/>
    <mergeCell ref="G37:I37"/>
    <mergeCell ref="G38:I38"/>
    <mergeCell ref="B32:C32"/>
    <mergeCell ref="B33:C33"/>
    <mergeCell ref="G40:I40"/>
    <mergeCell ref="B37:C37"/>
    <mergeCell ref="B38:C38"/>
    <mergeCell ref="D40:E40"/>
    <mergeCell ref="D33:E33"/>
    <mergeCell ref="D34:E34"/>
    <mergeCell ref="D37:E37"/>
    <mergeCell ref="D38:E38"/>
    <mergeCell ref="B35:C35"/>
    <mergeCell ref="D35:E35"/>
    <mergeCell ref="B39:C39"/>
    <mergeCell ref="D39:E39"/>
    <mergeCell ref="G34:I34"/>
    <mergeCell ref="B34:C34"/>
    <mergeCell ref="G32:I32"/>
  </mergeCells>
  <phoneticPr fontId="4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0CF2B-4664-4C16-A4B2-76E03D3CBF8F}">
  <dimension ref="B1:K8"/>
  <sheetViews>
    <sheetView workbookViewId="0">
      <selection activeCell="F12" sqref="F12"/>
    </sheetView>
  </sheetViews>
  <sheetFormatPr defaultColWidth="9.08984375" defaultRowHeight="12.5"/>
  <cols>
    <col min="1" max="1" width="2.36328125" customWidth="1"/>
    <col min="2" max="2" width="36.6328125" customWidth="1"/>
    <col min="3" max="3" width="17.54296875" customWidth="1"/>
  </cols>
  <sheetData>
    <row r="1" spans="2:11" ht="13" thickBot="1"/>
    <row r="2" spans="2:11" ht="20.5" thickBot="1">
      <c r="B2" s="187" t="s">
        <v>160</v>
      </c>
      <c r="C2" s="188"/>
      <c r="D2" s="188"/>
      <c r="E2" s="188"/>
      <c r="F2" s="188"/>
      <c r="G2" s="188"/>
      <c r="H2" s="188"/>
      <c r="I2" s="188"/>
      <c r="J2" s="188"/>
      <c r="K2" s="189"/>
    </row>
    <row r="3" spans="2:11" ht="28">
      <c r="B3" s="190" t="s">
        <v>142</v>
      </c>
      <c r="C3" s="190" t="s">
        <v>143</v>
      </c>
      <c r="D3" s="66" t="s">
        <v>144</v>
      </c>
      <c r="E3" s="71" t="s">
        <v>146</v>
      </c>
      <c r="F3" s="190" t="s">
        <v>148</v>
      </c>
      <c r="G3" s="190" t="s">
        <v>149</v>
      </c>
      <c r="H3" s="192" t="s">
        <v>150</v>
      </c>
      <c r="I3" s="190" t="s">
        <v>17</v>
      </c>
      <c r="J3" s="190" t="s">
        <v>151</v>
      </c>
      <c r="K3" s="190" t="s">
        <v>152</v>
      </c>
    </row>
    <row r="4" spans="2:11" ht="14.5" thickBot="1">
      <c r="B4" s="191"/>
      <c r="C4" s="191"/>
      <c r="D4" s="68" t="s">
        <v>145</v>
      </c>
      <c r="E4" s="67" t="s">
        <v>147</v>
      </c>
      <c r="F4" s="191"/>
      <c r="G4" s="191"/>
      <c r="H4" s="193"/>
      <c r="I4" s="191"/>
      <c r="J4" s="191"/>
      <c r="K4" s="191"/>
    </row>
    <row r="5" spans="2:11" ht="20.5" thickBot="1">
      <c r="B5" s="68" t="s">
        <v>153</v>
      </c>
      <c r="C5" s="67" t="s">
        <v>154</v>
      </c>
      <c r="D5" s="69" t="s">
        <v>73</v>
      </c>
      <c r="E5" s="69" t="s">
        <v>155</v>
      </c>
      <c r="F5" s="69" t="s">
        <v>155</v>
      </c>
      <c r="G5" s="69" t="s">
        <v>155</v>
      </c>
      <c r="H5" s="70" t="s">
        <v>73</v>
      </c>
      <c r="I5" s="69" t="s">
        <v>155</v>
      </c>
      <c r="J5" s="69" t="s">
        <v>155</v>
      </c>
      <c r="K5" s="69" t="s">
        <v>155</v>
      </c>
    </row>
    <row r="6" spans="2:11" ht="20.5" thickBot="1">
      <c r="B6" s="68" t="s">
        <v>153</v>
      </c>
      <c r="C6" s="67" t="s">
        <v>156</v>
      </c>
      <c r="D6" s="69" t="s">
        <v>155</v>
      </c>
      <c r="E6" s="69" t="s">
        <v>155</v>
      </c>
      <c r="F6" s="69" t="s">
        <v>155</v>
      </c>
      <c r="G6" s="69" t="s">
        <v>73</v>
      </c>
      <c r="H6" s="70" t="s">
        <v>73</v>
      </c>
      <c r="I6" s="69" t="s">
        <v>155</v>
      </c>
      <c r="J6" s="69" t="s">
        <v>155</v>
      </c>
      <c r="K6" s="69" t="s">
        <v>155</v>
      </c>
    </row>
    <row r="7" spans="2:11" ht="20.5" thickBot="1">
      <c r="B7" s="68" t="s">
        <v>157</v>
      </c>
      <c r="C7" s="67" t="s">
        <v>156</v>
      </c>
      <c r="D7" s="69" t="s">
        <v>155</v>
      </c>
      <c r="E7" s="69" t="s">
        <v>155</v>
      </c>
      <c r="F7" s="69" t="s">
        <v>73</v>
      </c>
      <c r="G7" s="69" t="s">
        <v>73</v>
      </c>
      <c r="H7" s="70" t="s">
        <v>73</v>
      </c>
      <c r="I7" s="69" t="s">
        <v>155</v>
      </c>
      <c r="J7" s="69" t="s">
        <v>155</v>
      </c>
      <c r="K7" s="69" t="s">
        <v>155</v>
      </c>
    </row>
    <row r="8" spans="2:11" ht="20.5" thickBot="1">
      <c r="B8" s="68" t="s">
        <v>158</v>
      </c>
      <c r="C8" s="67" t="s">
        <v>159</v>
      </c>
      <c r="D8" s="69" t="s">
        <v>155</v>
      </c>
      <c r="E8" s="69" t="s">
        <v>73</v>
      </c>
      <c r="F8" s="69" t="s">
        <v>73</v>
      </c>
      <c r="G8" s="69" t="s">
        <v>73</v>
      </c>
      <c r="H8" s="70" t="s">
        <v>155</v>
      </c>
      <c r="I8" s="69" t="s">
        <v>73</v>
      </c>
      <c r="J8" s="69" t="s">
        <v>73</v>
      </c>
      <c r="K8" s="69" t="s">
        <v>155</v>
      </c>
    </row>
  </sheetData>
  <mergeCells count="9">
    <mergeCell ref="B2:K2"/>
    <mergeCell ref="B3:B4"/>
    <mergeCell ref="C3:C4"/>
    <mergeCell ref="F3:F4"/>
    <mergeCell ref="G3:G4"/>
    <mergeCell ref="H3:H4"/>
    <mergeCell ref="I3:I4"/>
    <mergeCell ref="J3:J4"/>
    <mergeCell ref="K3:K4"/>
  </mergeCells>
  <phoneticPr fontId="4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C817-46E2-44B8-BAC4-1282890F59F5}">
  <dimension ref="A1"/>
  <sheetViews>
    <sheetView zoomScale="130" zoomScaleNormal="130" workbookViewId="0">
      <selection activeCell="A12" sqref="A12"/>
    </sheetView>
  </sheetViews>
  <sheetFormatPr defaultColWidth="8.90625" defaultRowHeight="12.5"/>
  <cols>
    <col min="1" max="16384" width="8.90625" style="47"/>
  </cols>
  <sheetData/>
  <phoneticPr fontId="4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A299-DD52-4F85-BF0C-7D51C5EBB383}">
  <dimension ref="A1:E31"/>
  <sheetViews>
    <sheetView workbookViewId="0">
      <selection activeCell="C24" sqref="C24"/>
    </sheetView>
  </sheetViews>
  <sheetFormatPr defaultColWidth="11.453125" defaultRowHeight="12.5"/>
  <cols>
    <col min="1" max="1" width="11.453125" style="28" customWidth="1"/>
    <col min="2" max="2" width="16.08984375" style="28" customWidth="1"/>
    <col min="3" max="4" width="11.453125" style="28"/>
    <col min="5" max="5" width="32.453125" style="29" customWidth="1"/>
    <col min="6" max="16384" width="11.453125" style="28"/>
  </cols>
  <sheetData>
    <row r="1" spans="1:5" ht="14.5">
      <c r="A1" s="30" t="s">
        <v>107</v>
      </c>
      <c r="B1" s="30" t="s">
        <v>108</v>
      </c>
      <c r="C1" s="30" t="s">
        <v>65</v>
      </c>
      <c r="D1" s="30" t="s">
        <v>66</v>
      </c>
      <c r="E1" s="31" t="s">
        <v>67</v>
      </c>
    </row>
    <row r="2" spans="1:5" ht="14.5">
      <c r="A2" s="32" t="s">
        <v>68</v>
      </c>
      <c r="B2" s="33" t="s">
        <v>69</v>
      </c>
      <c r="C2" s="32">
        <v>1.2</v>
      </c>
      <c r="D2" s="34" t="s">
        <v>70</v>
      </c>
      <c r="E2" s="35" t="s">
        <v>71</v>
      </c>
    </row>
    <row r="3" spans="1:5" ht="14.5">
      <c r="A3" s="32" t="s">
        <v>68</v>
      </c>
      <c r="B3" s="32" t="s">
        <v>72</v>
      </c>
      <c r="C3" s="32">
        <v>1.2</v>
      </c>
      <c r="D3" s="34" t="s">
        <v>70</v>
      </c>
      <c r="E3" s="35" t="s">
        <v>73</v>
      </c>
    </row>
    <row r="4" spans="1:5" ht="14.5">
      <c r="A4" s="32" t="s">
        <v>68</v>
      </c>
      <c r="B4" s="33" t="s">
        <v>74</v>
      </c>
      <c r="C4" s="32">
        <v>1.04</v>
      </c>
      <c r="D4" s="34" t="s">
        <v>70</v>
      </c>
      <c r="E4" s="35" t="s">
        <v>71</v>
      </c>
    </row>
    <row r="5" spans="1:5" ht="14.5">
      <c r="A5" s="32" t="s">
        <v>68</v>
      </c>
      <c r="B5" s="33" t="s">
        <v>75</v>
      </c>
      <c r="C5" s="32">
        <v>1.04</v>
      </c>
      <c r="D5" s="34" t="s">
        <v>70</v>
      </c>
      <c r="E5" s="35" t="s">
        <v>73</v>
      </c>
    </row>
    <row r="6" spans="1:5" ht="29">
      <c r="A6" s="32" t="s">
        <v>68</v>
      </c>
      <c r="B6" s="33" t="s">
        <v>76</v>
      </c>
      <c r="C6" s="32">
        <v>1.1499999999999999</v>
      </c>
      <c r="D6" s="34" t="s">
        <v>70</v>
      </c>
      <c r="E6" s="35" t="s">
        <v>77</v>
      </c>
    </row>
    <row r="7" spans="1:5" ht="14.5">
      <c r="A7" s="32" t="s">
        <v>68</v>
      </c>
      <c r="B7" s="33" t="s">
        <v>78</v>
      </c>
      <c r="C7" s="32">
        <v>0.9</v>
      </c>
      <c r="D7" s="34" t="s">
        <v>70</v>
      </c>
      <c r="E7" s="35" t="s">
        <v>79</v>
      </c>
    </row>
    <row r="8" spans="1:5" ht="14.5">
      <c r="A8" s="32" t="s">
        <v>68</v>
      </c>
      <c r="B8" s="33" t="s">
        <v>80</v>
      </c>
      <c r="C8" s="32">
        <v>1.3</v>
      </c>
      <c r="D8" s="34" t="s">
        <v>70</v>
      </c>
      <c r="E8" s="35" t="s">
        <v>79</v>
      </c>
    </row>
    <row r="9" spans="1:5" ht="14.5">
      <c r="A9" s="32" t="s">
        <v>68</v>
      </c>
      <c r="B9" s="33" t="s">
        <v>81</v>
      </c>
      <c r="C9" s="32">
        <v>1.1499999999999999</v>
      </c>
      <c r="D9" s="34" t="s">
        <v>70</v>
      </c>
      <c r="E9" s="35" t="s">
        <v>79</v>
      </c>
    </row>
    <row r="10" spans="1:5" ht="14.5">
      <c r="A10" s="32" t="s">
        <v>68</v>
      </c>
      <c r="B10" s="33" t="s">
        <v>82</v>
      </c>
      <c r="C10" s="32">
        <v>1.4</v>
      </c>
      <c r="D10" s="34" t="s">
        <v>70</v>
      </c>
      <c r="E10" s="35" t="s">
        <v>79</v>
      </c>
    </row>
    <row r="11" spans="1:5" ht="14.5">
      <c r="A11" s="32" t="s">
        <v>68</v>
      </c>
      <c r="B11" s="33" t="s">
        <v>83</v>
      </c>
      <c r="C11" s="32">
        <v>1.5</v>
      </c>
      <c r="D11" s="34" t="s">
        <v>70</v>
      </c>
      <c r="E11" s="35" t="s">
        <v>79</v>
      </c>
    </row>
    <row r="12" spans="1:5" ht="14.5">
      <c r="A12" s="32" t="s">
        <v>68</v>
      </c>
      <c r="B12" s="33" t="s">
        <v>84</v>
      </c>
      <c r="C12" s="32">
        <v>1.42</v>
      </c>
      <c r="D12" s="34" t="s">
        <v>70</v>
      </c>
      <c r="E12" s="35" t="s">
        <v>79</v>
      </c>
    </row>
    <row r="13" spans="1:5" ht="14.5">
      <c r="A13" s="32" t="s">
        <v>68</v>
      </c>
      <c r="B13" s="33" t="s">
        <v>85</v>
      </c>
      <c r="C13" s="32">
        <v>1.06</v>
      </c>
      <c r="D13" s="34" t="s">
        <v>70</v>
      </c>
      <c r="E13" s="35" t="s">
        <v>79</v>
      </c>
    </row>
    <row r="14" spans="1:5" ht="14.5">
      <c r="A14" s="32" t="s">
        <v>68</v>
      </c>
      <c r="B14" s="33" t="s">
        <v>86</v>
      </c>
      <c r="C14" s="32">
        <v>0.97</v>
      </c>
      <c r="D14" s="34" t="s">
        <v>70</v>
      </c>
      <c r="E14" s="35" t="s">
        <v>79</v>
      </c>
    </row>
    <row r="15" spans="1:5" ht="14.5">
      <c r="A15" s="32" t="s">
        <v>68</v>
      </c>
      <c r="B15" s="33" t="s">
        <v>87</v>
      </c>
      <c r="C15" s="32">
        <v>1.2</v>
      </c>
      <c r="D15" s="34" t="s">
        <v>70</v>
      </c>
      <c r="E15" s="35" t="s">
        <v>79</v>
      </c>
    </row>
    <row r="16" spans="1:5" ht="14.5">
      <c r="A16" s="32" t="s">
        <v>68</v>
      </c>
      <c r="B16" s="33" t="s">
        <v>88</v>
      </c>
      <c r="C16" s="32">
        <v>0.93</v>
      </c>
      <c r="D16" s="34" t="s">
        <v>70</v>
      </c>
      <c r="E16" s="35" t="s">
        <v>79</v>
      </c>
    </row>
    <row r="17" spans="1:5" ht="14.5">
      <c r="A17" s="32" t="s">
        <v>68</v>
      </c>
      <c r="B17" s="33" t="s">
        <v>89</v>
      </c>
      <c r="C17" s="32">
        <v>1.37</v>
      </c>
      <c r="D17" s="34" t="s">
        <v>70</v>
      </c>
      <c r="E17" s="35" t="s">
        <v>79</v>
      </c>
    </row>
    <row r="18" spans="1:5" ht="14.5">
      <c r="A18" s="32" t="s">
        <v>68</v>
      </c>
      <c r="B18" s="33" t="s">
        <v>90</v>
      </c>
      <c r="C18" s="32">
        <v>0.87</v>
      </c>
      <c r="D18" s="34" t="s">
        <v>70</v>
      </c>
      <c r="E18" s="35" t="s">
        <v>79</v>
      </c>
    </row>
    <row r="19" spans="1:5" ht="14.5">
      <c r="A19" s="32" t="s">
        <v>68</v>
      </c>
      <c r="B19" s="33" t="s">
        <v>91</v>
      </c>
      <c r="C19" s="32">
        <v>2.2999999999999998</v>
      </c>
      <c r="D19" s="34" t="s">
        <v>70</v>
      </c>
      <c r="E19" s="35" t="s">
        <v>79</v>
      </c>
    </row>
    <row r="20" spans="1:5" ht="14.5">
      <c r="A20" s="32" t="s">
        <v>68</v>
      </c>
      <c r="B20" s="33" t="s">
        <v>92</v>
      </c>
      <c r="C20" s="32">
        <v>0.1</v>
      </c>
      <c r="D20" s="34" t="s">
        <v>70</v>
      </c>
      <c r="E20" s="35" t="s">
        <v>79</v>
      </c>
    </row>
    <row r="21" spans="1:5" ht="14.5">
      <c r="A21" s="32" t="s">
        <v>93</v>
      </c>
      <c r="B21" s="33" t="s">
        <v>94</v>
      </c>
      <c r="C21" s="32">
        <v>1.2</v>
      </c>
      <c r="D21" s="34" t="s">
        <v>70</v>
      </c>
      <c r="E21" s="35" t="s">
        <v>79</v>
      </c>
    </row>
    <row r="22" spans="1:5" ht="14.5">
      <c r="A22" s="32" t="s">
        <v>93</v>
      </c>
      <c r="B22" s="33" t="s">
        <v>95</v>
      </c>
      <c r="C22" s="32">
        <v>8.1</v>
      </c>
      <c r="D22" s="34" t="s">
        <v>70</v>
      </c>
      <c r="E22" s="35" t="s">
        <v>79</v>
      </c>
    </row>
    <row r="23" spans="1:5" ht="14.5">
      <c r="A23" s="32" t="s">
        <v>93</v>
      </c>
      <c r="B23" s="32" t="s">
        <v>96</v>
      </c>
      <c r="C23" s="32">
        <v>8.1</v>
      </c>
      <c r="D23" s="34" t="s">
        <v>70</v>
      </c>
      <c r="E23" s="35" t="s">
        <v>73</v>
      </c>
    </row>
    <row r="24" spans="1:5" ht="14.5">
      <c r="A24" s="32" t="s">
        <v>93</v>
      </c>
      <c r="B24" s="33" t="s">
        <v>97</v>
      </c>
      <c r="C24" s="32">
        <v>2.7</v>
      </c>
      <c r="D24" s="34" t="s">
        <v>70</v>
      </c>
      <c r="E24" s="35" t="s">
        <v>79</v>
      </c>
    </row>
    <row r="25" spans="1:5" ht="14.5">
      <c r="A25" s="32" t="s">
        <v>93</v>
      </c>
      <c r="B25" s="32" t="s">
        <v>98</v>
      </c>
      <c r="C25" s="32">
        <v>2.7</v>
      </c>
      <c r="D25" s="34" t="s">
        <v>70</v>
      </c>
      <c r="E25" s="35" t="s">
        <v>73</v>
      </c>
    </row>
    <row r="26" spans="1:5" ht="14.5">
      <c r="A26" s="32" t="s">
        <v>93</v>
      </c>
      <c r="B26" s="33" t="s">
        <v>99</v>
      </c>
      <c r="C26" s="32">
        <v>8.6999999999999993</v>
      </c>
      <c r="D26" s="34" t="s">
        <v>70</v>
      </c>
      <c r="E26" s="35" t="s">
        <v>79</v>
      </c>
    </row>
    <row r="27" spans="1:5" ht="14.5">
      <c r="A27" s="32" t="s">
        <v>93</v>
      </c>
      <c r="B27" s="33" t="s">
        <v>100</v>
      </c>
      <c r="C27" s="32">
        <v>6.7</v>
      </c>
      <c r="D27" s="34" t="s">
        <v>70</v>
      </c>
      <c r="E27" s="35" t="s">
        <v>101</v>
      </c>
    </row>
    <row r="28" spans="1:5" ht="14.5">
      <c r="A28" s="32" t="s">
        <v>93</v>
      </c>
      <c r="B28" s="33" t="s">
        <v>102</v>
      </c>
      <c r="C28" s="32">
        <v>7.3</v>
      </c>
      <c r="D28" s="34" t="s">
        <v>70</v>
      </c>
      <c r="E28" s="35" t="s">
        <v>79</v>
      </c>
    </row>
    <row r="29" spans="1:5" ht="14.5">
      <c r="A29" s="32" t="s">
        <v>93</v>
      </c>
      <c r="B29" s="33" t="s">
        <v>103</v>
      </c>
      <c r="C29" s="32">
        <v>9.3000000000000007</v>
      </c>
      <c r="D29" s="34" t="s">
        <v>70</v>
      </c>
      <c r="E29" s="35" t="s">
        <v>79</v>
      </c>
    </row>
    <row r="30" spans="1:5" ht="14.5">
      <c r="A30" s="32" t="s">
        <v>93</v>
      </c>
      <c r="B30" s="33" t="s">
        <v>104</v>
      </c>
      <c r="C30" s="32">
        <v>9</v>
      </c>
      <c r="D30" s="34" t="s">
        <v>70</v>
      </c>
      <c r="E30" s="35" t="s">
        <v>79</v>
      </c>
    </row>
    <row r="31" spans="1:5" ht="14.5">
      <c r="A31" s="32" t="s">
        <v>105</v>
      </c>
      <c r="B31" s="33" t="s">
        <v>106</v>
      </c>
      <c r="C31" s="32">
        <v>2.8</v>
      </c>
      <c r="D31" s="34" t="s">
        <v>70</v>
      </c>
      <c r="E31" s="35" t="s">
        <v>79</v>
      </c>
    </row>
  </sheetData>
  <phoneticPr fontId="4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2EFA462F9440BC579937C46FD519" ma:contentTypeVersion="15" ma:contentTypeDescription="Crée un document." ma:contentTypeScope="" ma:versionID="4fbb6c651ff3c90d4a1c3941575f13e4">
  <xsd:schema xmlns:xsd="http://www.w3.org/2001/XMLSchema" xmlns:xs="http://www.w3.org/2001/XMLSchema" xmlns:p="http://schemas.microsoft.com/office/2006/metadata/properties" xmlns:ns2="bee1d8f4-4703-43cd-9904-f43ad033c86e" xmlns:ns3="34d3735a-380e-42da-9c89-a7b3e8d8bf5f" targetNamespace="http://schemas.microsoft.com/office/2006/metadata/properties" ma:root="true" ma:fieldsID="7aacdfe85514ae9f805fe26a4b5a58e7" ns2:_="" ns3:_="">
    <xsd:import namespace="bee1d8f4-4703-43cd-9904-f43ad033c86e"/>
    <xsd:import namespace="34d3735a-380e-42da-9c89-a7b3e8d8bf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e1d8f4-4703-43cd-9904-f43ad033c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088343e8-a3e6-4e1c-bc4c-a5237d5727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3735a-380e-42da-9c89-a7b3e8d8bf5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08df29e-346c-463c-8fe8-ec9ccd5007e0}" ma:internalName="TaxCatchAll" ma:showField="CatchAllData" ma:web="34d3735a-380e-42da-9c89-a7b3e8d8b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d3735a-380e-42da-9c89-a7b3e8d8bf5f" xsi:nil="true"/>
    <lcf76f155ced4ddcb4097134ff3c332f xmlns="bee1d8f4-4703-43cd-9904-f43ad033c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858473-F91B-4ED9-ADF9-84F58F7DCB69}"/>
</file>

<file path=customXml/itemProps2.xml><?xml version="1.0" encoding="utf-8"?>
<ds:datastoreItem xmlns:ds="http://schemas.openxmlformats.org/officeDocument/2006/customXml" ds:itemID="{6C2A2BA0-37C9-4ABE-AD49-E6D5C1B1C2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56936D-5328-45EF-B5C7-5A10794723BE}">
  <ds:schemaRefs>
    <ds:schemaRef ds:uri="http://schemas.microsoft.com/sharepoint/v3"/>
    <ds:schemaRef ds:uri="4b0ca044-58d8-43fa-8211-91cc4b650b39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b6400138-1f54-4661-9c27-d4b9d3a6f6f7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da016b14-a009-49d7-ad1b-dbb3db941fde"/>
    <ds:schemaRef ds:uri="075586fa-145f-4c3b-baba-16491a54902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size="7" baseType="lpstr">
      <vt:lpstr>Historic</vt:lpstr>
      <vt:lpstr>Product BOM</vt:lpstr>
      <vt:lpstr>Guidelines</vt:lpstr>
      <vt:lpstr>ERP needs (AIS)</vt:lpstr>
      <vt:lpstr>Data (DO NOT DELETE)</vt:lpstr>
      <vt:lpstr>Material DB (DFT)</vt:lpstr>
      <vt:lpstr>'Product BOM'!Print_Area</vt:lpstr>
    </vt:vector>
  </TitlesOfParts>
  <Manager/>
  <Company>NEC Computers International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Fabienne Provostic</dc:creator>
  <cp:keywords/>
  <dc:description/>
  <cp:lastModifiedBy>Rebecca Chen</cp:lastModifiedBy>
  <cp:revision/>
  <dcterms:created xsi:type="dcterms:W3CDTF">2005-03-10T21:33:08Z</dcterms:created>
  <dcterms:modified xsi:type="dcterms:W3CDTF">2025-12-15T06:34:09Z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0x01010033C92EFA462F9440BC579937C46FD519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xd_Signature">
    <vt:bool>false</vt:bool>
  </property>
  <property fmtid="{D5CDD505-2E9C-101B-9397-08002B2CF9AE}" pid="8" name="MediaServiceImageTags">
    <vt:lpwstr/>
  </property>
  <property fmtid="{D5CDD505-2E9C-101B-9397-08002B2CF9AE}" pid="9" name="Order">
    <vt:r8>13542500</vt:r8>
  </property>
  <property fmtid="{D5CDD505-2E9C-101B-9397-08002B2CF9AE}" pid="10" name="TriggerFlowInfo">
    <vt:lpwstr/>
  </property>
  <property fmtid="{D5CDD505-2E9C-101B-9397-08002B2CF9AE}" pid="11" name="_SourceUrl">
    <vt:lpwstr/>
  </property>
  <property fmtid="{D5CDD505-2E9C-101B-9397-08002B2CF9AE}" pid="12" name="_SharedFileIndex">
    <vt:lpwstr/>
  </property>
</Properties>
</file>