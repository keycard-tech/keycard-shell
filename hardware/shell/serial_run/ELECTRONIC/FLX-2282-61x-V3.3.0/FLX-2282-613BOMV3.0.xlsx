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altyormsol.sharepoint.com/sites/P2282-STATUS-KPRO/Documents partages/General/PROJECT DOCUMENTS/06-R&amp;D/03-Electronic engineering/01-Engineering/FLX-2282-60x-V3.2.0/Output/FLX-2282-61x-V3.3.0/"/>
    </mc:Choice>
  </mc:AlternateContent>
  <xr:revisionPtr revIDLastSave="0" documentId="8_{A5C7C025-BEA1-4EBD-A7E4-A8C3F022B4F3}" xr6:coauthVersionLast="47" xr6:coauthVersionMax="47" xr10:uidLastSave="{00000000-0000-0000-0000-000000000000}"/>
  <bookViews>
    <workbookView xWindow="-52785" yWindow="870" windowWidth="21600" windowHeight="11385" xr2:uid="{00000000-000D-0000-FFFF-FFFF00000000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B12" i="1" l="1"/>
  <c r="B11" i="1" l="1"/>
  <c r="B10" i="1" l="1"/>
  <c r="B13" i="1" s="1"/>
</calcChain>
</file>

<file path=xl/sharedStrings.xml><?xml version="1.0" encoding="utf-8"?>
<sst xmlns="http://schemas.openxmlformats.org/spreadsheetml/2006/main" count="58" uniqueCount="45">
  <si>
    <t>Qty</t>
  </si>
  <si>
    <t>Supplier</t>
  </si>
  <si>
    <t>Date:</t>
  </si>
  <si>
    <t>Ref BOM:</t>
  </si>
  <si>
    <t>Revision:</t>
  </si>
  <si>
    <t>History</t>
  </si>
  <si>
    <t>Designator</t>
  </si>
  <si>
    <t>Description</t>
  </si>
  <si>
    <t>Manufacturer</t>
  </si>
  <si>
    <t>Reference</t>
  </si>
  <si>
    <t>Comment</t>
  </si>
  <si>
    <t>Generic</t>
  </si>
  <si>
    <t>Article Code</t>
  </si>
  <si>
    <t>Manufacture_Cnd</t>
  </si>
  <si>
    <t>ERP Code</t>
  </si>
  <si>
    <t>Footprint</t>
  </si>
  <si>
    <t>ERP SF Code</t>
  </si>
  <si>
    <t>RoHS</t>
  </si>
  <si>
    <t>Lifecycle</t>
  </si>
  <si>
    <t>Y-to-EOL</t>
  </si>
  <si>
    <t>STATUS K</t>
  </si>
  <si>
    <t>02/01/2025</t>
  </si>
  <si>
    <t>2282</t>
  </si>
  <si>
    <t>V3.0</t>
  </si>
  <si>
    <t>Quantity</t>
  </si>
  <si>
    <t>Mire Top 1, Mire Top 2</t>
  </si>
  <si>
    <t>P2</t>
  </si>
  <si>
    <t>Mire</t>
  </si>
  <si>
    <t>8 Positions connecteur de carte Micro SIM Montage en surface Ã  angle droit Or avec commutateur</t>
  </si>
  <si>
    <t>MANUFACTURER</t>
  </si>
  <si>
    <t/>
  </si>
  <si>
    <t>AMPHENOL</t>
  </si>
  <si>
    <t>DNI</t>
  </si>
  <si>
    <t>7311S0725A01LF</t>
  </si>
  <si>
    <t>NAME</t>
  </si>
  <si>
    <t>8P READER</t>
  </si>
  <si>
    <t>MIRE</t>
  </si>
  <si>
    <t>GENERIC</t>
  </si>
  <si>
    <t>False</t>
  </si>
  <si>
    <t>ARTICLE CODE</t>
  </si>
  <si>
    <t>MSR 649-7311S0725A01LF</t>
  </si>
  <si>
    <t>MANUFACTURE_CND</t>
  </si>
  <si>
    <t>ERP SF CODE</t>
  </si>
  <si>
    <t>ERP CODE</t>
  </si>
  <si>
    <t>10-*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</si>
</sst>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  <font>
      <b/>
      <sz val="11"/>
      <color rgb="FFCCFFC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1" fillId="2" borderId="0" xfId="0" quotePrefix="1" applyFont="1" applyFill="1" applyAlignment="1">
      <alignment horizontal="center" vertical="center"/>
    </xf>
    <xf numFmtId="0" fontId="4" fillId="2" borderId="12" xfId="0" quotePrefix="1" applyFont="1" applyFill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2" borderId="11" xfId="0" quotePrefix="1" applyFont="1" applyFill="1" applyBorder="1" applyAlignment="1">
      <alignment horizontal="center" vertical="center"/>
    </xf>
    <xf numFmtId="49" fontId="0" fillId="0" borderId="10" xfId="0" quotePrefix="1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CCFFCC"/>
      <color rgb="FFFABA86"/>
      <color rgb="FFF78F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34637</xdr:colOff>
      <xdr:row>1</xdr:row>
      <xdr:rowOff>43295</xdr:rowOff>
    </xdr:from>
    <xdr:to>
      <xdr:col>1</xdr:col>
      <xdr:colOff>758461</xdr:colOff>
      <xdr:row>5</xdr:row>
      <xdr:rowOff>157595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21" y="99579"/>
          <a:ext cx="723824" cy="876300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657225</xdr:colOff>
      <xdr:row>1</xdr:row>
      <xdr:rowOff>47625</xdr:rowOff>
    </xdr:from>
    <xdr:to>
      <xdr:col>4</xdr:col>
      <xdr:colOff>1657350</xdr:colOff>
      <xdr:row>5</xdr:row>
      <xdr:rowOff>142875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1" b="6343"/>
        <a:stretch>
          <a:fillRect/>
        </a:stretch>
      </xdr:blipFill>
      <xdr:spPr bwMode="auto">
        <a:xfrm>
          <a:off x="1476375" y="104775"/>
          <a:ext cx="276225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3"/>
  <sheetViews>
    <sheetView showGridLines="0" tabSelected="1" zoomScale="85" zoomScaleNormal="85" workbookViewId="0">
      <pane xSplit="3" ySplit="9" topLeftCell="D10" activePane="bottomRight" state="frozen"/>
      <selection pane="topRight" activeCell="D1" sqref="D1"/>
      <selection pane="bottomLeft" activeCell="A9" sqref="A9"/>
      <selection pane="bottomRight" activeCell="E11" sqref="E11"/>
    </sheetView>
  </sheetViews>
  <sheetFormatPr baseColWidth="10" defaultRowHeight="15" x14ac:dyDescent="0.25"/>
  <cols>
    <col min="1" max="1" width="0.85546875" customWidth="1"/>
    <col min="2" max="2" width="11.42578125" style="2"/>
    <col min="3" max="3" width="16.7109375" style="2" hidden="1" customWidth="1"/>
    <col min="4" max="4" width="26.42578125" style="2" customWidth="1"/>
    <col min="5" max="5" width="31.7109375" style="2" customWidth="1"/>
    <col min="6" max="6" width="21.28515625" style="2" customWidth="1"/>
    <col min="7" max="7" width="27.85546875" style="2" customWidth="1"/>
    <col min="8" max="8" width="18.140625" style="2" customWidth="1"/>
    <col min="9" max="9" width="17.7109375" style="2" bestFit="1" customWidth="1"/>
    <col min="10" max="10" width="17.28515625" style="2" bestFit="1" customWidth="1"/>
    <col min="11" max="11" width="17.28515625" style="2" customWidth="1"/>
    <col min="12" max="12" width="25" style="2" customWidth="1"/>
    <col min="13" max="13" width="24.85546875" style="2" bestFit="1" customWidth="1"/>
    <col min="14" max="14" width="19.7109375" style="2" bestFit="1" customWidth="1"/>
    <col min="15" max="17" width="19.7109375" style="2" customWidth="1"/>
    <col min="18" max="18" width="17.28515625" style="2" customWidth="1"/>
    <col min="19" max="19" width="11.42578125" style="2"/>
  </cols>
  <sheetData>
    <row r="1" spans="2:19" ht="4.5" customHeight="1" thickBot="1" x14ac:dyDescent="0.3"/>
    <row r="2" spans="2:19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 spans="2:19" x14ac:dyDescent="0.25">
      <c r="B3" s="6"/>
      <c r="E3" s="30" t="str">
        <f ca="1">LEFT(MID(CELL("nomfichier",A1),FIND("[",CELL("nomfichier",A1))+1,999),FIND("]",MID(CELL("nomfichier",A1),FIND("[",CELL("nomfichier",A1))+1,999))-6)</f>
        <v>FLX-2282-613 BOM V3.0</v>
      </c>
      <c r="F3" s="30"/>
      <c r="G3" s="30"/>
      <c r="H3" s="30"/>
      <c r="I3" s="30"/>
      <c r="J3" s="30"/>
      <c r="K3" s="30"/>
      <c r="L3" s="30"/>
      <c r="N3" s="11" t="s">
        <v>2</v>
      </c>
      <c r="O3" s="22" t="s">
        <v>21</v>
      </c>
      <c r="P3" s="12"/>
      <c r="Q3" s="12"/>
      <c r="S3" s="7"/>
    </row>
    <row r="4" spans="2:19" x14ac:dyDescent="0.25">
      <c r="B4" s="6"/>
      <c r="E4" s="30"/>
      <c r="F4" s="30"/>
      <c r="G4" s="30"/>
      <c r="H4" s="30"/>
      <c r="I4" s="30"/>
      <c r="J4" s="30"/>
      <c r="K4" s="30"/>
      <c r="L4" s="30"/>
      <c r="N4" s="11" t="s">
        <v>3</v>
      </c>
      <c r="O4" s="22" t="s">
        <v>22</v>
      </c>
      <c r="P4" s="12"/>
      <c r="Q4" s="12"/>
      <c r="S4" s="7"/>
    </row>
    <row r="5" spans="2:19" x14ac:dyDescent="0.25">
      <c r="B5" s="6"/>
      <c r="E5" s="31" t="s">
        <v>20</v>
      </c>
      <c r="F5" s="32"/>
      <c r="G5" s="32"/>
      <c r="H5" s="32"/>
      <c r="I5" s="32"/>
      <c r="J5" s="32"/>
      <c r="K5" s="32"/>
      <c r="L5" s="32"/>
      <c r="N5" s="11" t="s">
        <v>4</v>
      </c>
      <c r="O5" s="22" t="s">
        <v>23</v>
      </c>
      <c r="P5" s="12"/>
      <c r="Q5" s="12"/>
      <c r="S5" s="7"/>
    </row>
    <row r="6" spans="2:19" ht="15.75" thickBot="1" x14ac:dyDescent="0.3"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</row>
    <row r="8" spans="2:19" ht="15" customHeight="1" x14ac:dyDescent="0.25">
      <c r="B8" s="18" t="s">
        <v>0</v>
      </c>
      <c r="C8" s="19"/>
      <c r="D8" s="20" t="s">
        <v>6</v>
      </c>
      <c r="E8" s="18" t="s">
        <v>7</v>
      </c>
      <c r="F8" s="18" t="s">
        <v>8</v>
      </c>
      <c r="G8" s="18" t="s">
        <v>9</v>
      </c>
      <c r="H8" s="18" t="s">
        <v>1</v>
      </c>
      <c r="I8" s="18" t="s">
        <v>10</v>
      </c>
      <c r="J8" s="18" t="s">
        <v>15</v>
      </c>
      <c r="K8" s="18" t="s">
        <v>11</v>
      </c>
      <c r="L8" s="18" t="s">
        <v>12</v>
      </c>
      <c r="M8" s="18" t="s">
        <v>13</v>
      </c>
      <c r="N8" s="18" t="s">
        <v>16</v>
      </c>
      <c r="O8" s="18" t="s">
        <v>14</v>
      </c>
      <c r="P8" s="18" t="s">
        <v>17</v>
      </c>
      <c r="Q8" s="18" t="s">
        <v>18</v>
      </c>
      <c r="R8" s="18" t="s">
        <v>19</v>
      </c>
      <c r="S8" s="20" t="s">
        <v>5</v>
      </c>
    </row>
    <row r="9" spans="2:19" ht="3.75" customHeight="1" x14ac:dyDescent="0.25">
      <c r="B9" s="16"/>
      <c r="C9" s="23" t="s">
        <v>24</v>
      </c>
      <c r="D9" s="24" t="s">
        <v>6</v>
      </c>
      <c r="E9" s="27" t="s">
        <v>7</v>
      </c>
      <c r="F9" s="27" t="s">
        <v>29</v>
      </c>
      <c r="G9" s="27" t="s">
        <v>10</v>
      </c>
      <c r="H9" s="17"/>
      <c r="I9" s="27" t="s">
        <v>34</v>
      </c>
      <c r="J9" s="27" t="s">
        <v>15</v>
      </c>
      <c r="K9" s="27" t="s">
        <v>37</v>
      </c>
      <c r="L9" s="27" t="s">
        <v>39</v>
      </c>
      <c r="M9" s="27" t="s">
        <v>41</v>
      </c>
      <c r="N9" s="27" t="s">
        <v>42</v>
      </c>
      <c r="O9" s="27" t="s">
        <v>43</v>
      </c>
      <c r="P9" s="17"/>
      <c r="Q9" s="17"/>
      <c r="R9" s="17"/>
      <c r="S9" s="17"/>
    </row>
    <row r="10" spans="2:19" ht="15" customHeight="1" x14ac:dyDescent="0.25">
      <c r="B10" s="14">
        <f>IF(I10="DNI",0,C10)</f>
        <v>0</v>
      </c>
      <c r="C10" s="15">
        <v>2</v>
      </c>
      <c r="D10" s="25" t="s">
        <v>25</v>
      </c>
      <c r="E10" s="25" t="s">
        <v>27</v>
      </c>
      <c r="F10" s="25" t="s">
        <v>30</v>
      </c>
      <c r="G10" s="28" t="s">
        <v>32</v>
      </c>
      <c r="H10" s="15"/>
      <c r="I10" s="25" t="s">
        <v>32</v>
      </c>
      <c r="J10" s="25" t="s">
        <v>36</v>
      </c>
      <c r="K10" s="25" t="s">
        <v>30</v>
      </c>
      <c r="L10" s="25" t="s">
        <v>30</v>
      </c>
      <c r="M10" s="25" t="s">
        <v>30</v>
      </c>
      <c r="N10" s="25" t="s">
        <v>30</v>
      </c>
      <c r="O10" s="25" t="s">
        <v>30</v>
      </c>
      <c r="P10" s="15"/>
      <c r="Q10" s="15"/>
      <c r="R10" s="15"/>
    </row>
    <row r="11" spans="2:19" x14ac:dyDescent="0.25">
      <c r="B11" s="13">
        <f>IF(I11="DNI",0,C11)</f>
        <v>1</v>
      </c>
      <c r="C11" s="1">
        <v>1</v>
      </c>
      <c r="D11" s="26" t="s">
        <v>26</v>
      </c>
      <c r="E11" s="26" t="s">
        <v>28</v>
      </c>
      <c r="F11" s="26" t="s">
        <v>31</v>
      </c>
      <c r="G11" s="29" t="s">
        <v>33</v>
      </c>
      <c r="H11" s="1"/>
      <c r="I11" s="26" t="s">
        <v>35</v>
      </c>
      <c r="J11" s="26" t="s">
        <v>33</v>
      </c>
      <c r="K11" s="26" t="s">
        <v>38</v>
      </c>
      <c r="L11" s="26" t="s">
        <v>40</v>
      </c>
      <c r="M11" s="26" t="s">
        <v>30</v>
      </c>
      <c r="N11" s="26" t="s">
        <v>30</v>
      </c>
      <c r="O11" s="26" t="s">
        <v>44</v>
      </c>
      <c r="P11" s="1"/>
      <c r="Q11" s="1"/>
      <c r="R11" s="1"/>
    </row>
    <row r="12" spans="2:19" x14ac:dyDescent="0.25">
      <c r="B12" s="13">
        <f>IF(I12="DNI",0,C12)</f>
        <v>0</v>
      </c>
      <c r="D12" s="1"/>
      <c r="E12" s="1"/>
      <c r="F12" s="1"/>
      <c r="G12" s="2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9" x14ac:dyDescent="0.25">
      <c r="B13" s="13">
        <f>SUM(B10:B12)</f>
        <v>1</v>
      </c>
    </row>
  </sheetData>
  <mergeCells count="2">
    <mergeCell ref="E3:L4"/>
    <mergeCell ref="E5:L5"/>
  </mergeCells>
  <conditionalFormatting sqref="P1:P1048576">
    <cfRule type="cellIs" dxfId="9" priority="8" operator="equal">
      <formula>"Exemption"</formula>
    </cfRule>
    <cfRule type="cellIs" dxfId="8" priority="9" operator="equal">
      <formula>"Yes"</formula>
    </cfRule>
    <cfRule type="cellIs" dxfId="7" priority="10" operator="equal">
      <formula>"No"</formula>
    </cfRule>
  </conditionalFormatting>
  <conditionalFormatting sqref="Q1:Q1048576">
    <cfRule type="cellIs" dxfId="6" priority="1" operator="equal">
      <formula>"Custom"</formula>
    </cfRule>
    <cfRule type="cellIs" dxfId="5" priority="2" operator="equal">
      <formula>"Unconfirmed"</formula>
    </cfRule>
    <cfRule type="cellIs" dxfId="4" priority="3" operator="equal">
      <formula>"LTB"</formula>
    </cfRule>
    <cfRule type="cellIs" dxfId="3" priority="4" operator="equal">
      <formula>"Preliminary"</formula>
    </cfRule>
    <cfRule type="cellIs" dxfId="2" priority="5" operator="equal">
      <formula>"Obsolete"</formula>
    </cfRule>
    <cfRule type="cellIs" dxfId="1" priority="6" operator="equal">
      <formula>"NRND"</formula>
    </cfRule>
    <cfRule type="cellIs" dxfId="0" priority="7" operator="equal">
      <formula>"Active"</formula>
    </cfRule>
  </conditionalFormatting>
  <dataValidations count="2">
    <dataValidation type="list" allowBlank="1" showInputMessage="1" showErrorMessage="1" sqref="P10:P12" xr:uid="{4D809F0A-11EC-4055-B3CE-A69C874BACA9}">
      <formula1>"Yes, Exemption, No"</formula1>
    </dataValidation>
    <dataValidation type="list" allowBlank="1" showInputMessage="1" showErrorMessage="1" sqref="Q10:Q12" xr:uid="{616AFAB7-321A-4B8A-970B-DEC5445588DC}">
      <formula1>"Active, Preliminary, NRND, LTB, Obsolete, Unconfirmed, Custom"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2EFA462F9440BC579937C46FD519" ma:contentTypeVersion="13" ma:contentTypeDescription="Crée un document." ma:contentTypeScope="" ma:versionID="bc3fc7b47acf9692812100e775df6f8d">
  <xsd:schema xmlns:xsd="http://www.w3.org/2001/XMLSchema" xmlns:xs="http://www.w3.org/2001/XMLSchema" xmlns:p="http://schemas.microsoft.com/office/2006/metadata/properties" xmlns:ns2="bee1d8f4-4703-43cd-9904-f43ad033c86e" xmlns:ns3="34d3735a-380e-42da-9c89-a7b3e8d8bf5f" targetNamespace="http://schemas.microsoft.com/office/2006/metadata/properties" ma:root="true" ma:fieldsID="77074c74d7d299d604d737231c3c2efc" ns2:_="" ns3:_="">
    <xsd:import namespace="bee1d8f4-4703-43cd-9904-f43ad033c86e"/>
    <xsd:import namespace="34d3735a-380e-42da-9c89-a7b3e8d8b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1d8f4-4703-43cd-9904-f43ad033c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088343e8-a3e6-4e1c-bc4c-a5237d57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3735a-380e-42da-9c89-a7b3e8d8b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08df29e-346c-463c-8fe8-ec9ccd5007e0}" ma:internalName="TaxCatchAll" ma:showField="CatchAllData" ma:web="34d3735a-380e-42da-9c89-a7b3e8d8b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e1d8f4-4703-43cd-9904-f43ad033c86e">
      <Terms xmlns="http://schemas.microsoft.com/office/infopath/2007/PartnerControls"/>
    </lcf76f155ced4ddcb4097134ff3c332f>
    <TaxCatchAll xmlns="34d3735a-380e-42da-9c89-a7b3e8d8bf5f" xsi:nil="true"/>
  </documentManagement>
</p:properties>
</file>

<file path=customXml/itemProps1.xml><?xml version="1.0" encoding="utf-8"?>
<ds:datastoreItem xmlns:ds="http://schemas.openxmlformats.org/officeDocument/2006/customXml" ds:itemID="{59153E07-C303-4D37-A316-81518BF4B2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0DCDD2-B292-4C3E-A7EE-2D5E226253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e1d8f4-4703-43cd-9904-f43ad033c86e"/>
    <ds:schemaRef ds:uri="34d3735a-380e-42da-9c89-a7b3e8d8bf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18AB3D-0AD1-4088-A245-EF65A556C754}">
  <ds:schemaRefs>
    <ds:schemaRef ds:uri="http://schemas.microsoft.com/office/2006/metadata/properties"/>
    <ds:schemaRef ds:uri="http://schemas.microsoft.com/office/infopath/2007/PartnerControls"/>
    <ds:schemaRef ds:uri="bee1d8f4-4703-43cd-9904-f43ad033c86e"/>
    <ds:schemaRef ds:uri="34d3735a-380e-42da-9c89-a7b3e8d8bf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LEBRUN</dc:creator>
  <cp:lastModifiedBy>Dany LEBRUN</cp:lastModifiedBy>
  <dcterms:created xsi:type="dcterms:W3CDTF">2018-04-12T09:44:35Z</dcterms:created>
  <dcterms:modified xsi:type="dcterms:W3CDTF">2025-01-29T11:57:19Z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0x010100B5B680CEB60BD644A73CDB8612ABA1F7</vt:lpwstr>
  </property>
  <property fmtid="{D5CDD505-2E9C-101B-9397-08002B2CF9AE}" pid="3" name="MediaServiceImageTags">
    <vt:lpwstr/>
  </property>
</Properties>
</file>